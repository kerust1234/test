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6.xml" ContentType="application/vnd.openxmlformats-officedocument.spreadsheetml.comments+xml"/>
  <Override PartName="/xl/comments7.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8.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omments9.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0.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11.xml" ContentType="application/vnd.openxmlformats-officedocument.spreadsheetml.comments+xml"/>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2.xml" ContentType="application/vnd.openxmlformats-officedocument.spreadsheetml.comments+xml"/>
  <Override PartName="/xl/drawings/drawing8.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omments13.xml" ContentType="application/vnd.openxmlformats-officedocument.spreadsheetml.comments+xml"/>
  <Override PartName="/xl/drawings/drawing9.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14.xml" ContentType="application/vnd.openxmlformats-officedocument.spreadsheetml.comments+xml"/>
  <Override PartName="/xl/drawings/drawing10.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comments15.xml" ContentType="application/vnd.openxmlformats-officedocument.spreadsheetml.comments+xml"/>
  <Override PartName="/xl/drawings/drawing11.xml" ContentType="application/vnd.openxmlformats-officedocument.drawing+xml"/>
  <Override PartName="/xl/activeX/activeX19.xml" ContentType="application/vnd.ms-office.activeX+xml"/>
  <Override PartName="/xl/activeX/activeX19.bin" ContentType="application/vnd.ms-office.activeX"/>
  <Override PartName="/xl/drawings/drawing12.xml" ContentType="application/vnd.openxmlformats-officedocument.drawing+xml"/>
  <Override PartName="/xl/drawings/drawing13.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codeName="ThisWorkbook" defaultThemeVersion="124226"/>
  <mc:AlternateContent xmlns:mc="http://schemas.openxmlformats.org/markup-compatibility/2006">
    <mc:Choice Requires="x15">
      <x15ac:absPath xmlns:x15ac="http://schemas.microsoft.com/office/spreadsheetml/2010/11/ac" url="D:\requirement\2018 requirement\AHK Amanet\"/>
    </mc:Choice>
  </mc:AlternateContent>
  <bookViews>
    <workbookView xWindow="0" yWindow="810" windowWidth="9615" windowHeight="8700" tabRatio="781" firstSheet="1" activeTab="8"/>
  </bookViews>
  <sheets>
    <sheet name="版本控制" sheetId="4" r:id="rId1"/>
    <sheet name="例行版本计划" sheetId="14" r:id="rId2"/>
    <sheet name="ISR清单" sheetId="21" r:id="rId3"/>
    <sheet name="缺陷及问题清单" sheetId="22" r:id="rId4"/>
    <sheet name="本月退回ISR清单" sheetId="23" r:id="rId5"/>
    <sheet name="待处理ISR清单" sheetId="24" r:id="rId6"/>
    <sheet name="XX版本冻结公告" sheetId="20" state="hidden" r:id="rId7"/>
    <sheet name="历史信息" sheetId="19" state="hidden" r:id="rId8"/>
    <sheet name="v6.15.0版本冻结公告" sheetId="38" r:id="rId9"/>
    <sheet name="v6.13.0版本冻结公告" sheetId="37" r:id="rId10"/>
    <sheet name="v6.12.1版本冻结公告" sheetId="36" r:id="rId11"/>
    <sheet name="v1.23.0版本冻结公告" sheetId="35" r:id="rId12"/>
    <sheet name="v1.22.0版本冻结公告" sheetId="34" r:id="rId13"/>
    <sheet name="v1.19.0版本冻结公告" sheetId="32" r:id="rId14"/>
    <sheet name="v1.18.0版本冻结公告" sheetId="31" r:id="rId15"/>
    <sheet name="v1.17.0版本冻结公告" sheetId="16" r:id="rId16"/>
    <sheet name="XXX版本冻结公告（变更）" sheetId="28" r:id="rId17"/>
    <sheet name="邮件规范及操作指引" sheetId="27" r:id="rId18"/>
    <sheet name="XX版本冻结公告(变更)" sheetId="29" state="hidden" r:id="rId19"/>
  </sheets>
  <functionGroups builtInGroupCount="18"/>
  <definedNames>
    <definedName name="版本名称">例行版本计划!$A$11:$A$71</definedName>
  </definedNames>
  <calcPr calcId="171027" concurrentCalc="0"/>
</workbook>
</file>

<file path=xl/calcChain.xml><?xml version="1.0" encoding="utf-8"?>
<calcChain xmlns="http://schemas.openxmlformats.org/spreadsheetml/2006/main">
  <c r="C8" i="38" l="1"/>
  <c r="C7" i="38"/>
  <c r="C6" i="38"/>
  <c r="C8" i="37"/>
  <c r="C7" i="37"/>
  <c r="C6" i="37"/>
  <c r="C8" i="36"/>
  <c r="C7" i="36"/>
  <c r="C6" i="36"/>
  <c r="C8" i="35"/>
  <c r="C7" i="35"/>
  <c r="C6" i="35"/>
  <c r="C8" i="34"/>
  <c r="C7" i="34"/>
  <c r="C6" i="34"/>
  <c r="C8" i="32"/>
  <c r="C7" i="32"/>
  <c r="C6" i="32"/>
  <c r="C8" i="31"/>
  <c r="C7" i="31"/>
  <c r="C6" i="31"/>
  <c r="C8" i="20"/>
  <c r="C7" i="20"/>
  <c r="C6" i="20"/>
  <c r="C8" i="16"/>
  <c r="C7" i="16"/>
  <c r="C6" i="16"/>
  <c r="C7" i="24"/>
  <c r="C6" i="24"/>
  <c r="C5" i="24"/>
  <c r="C5" i="23"/>
  <c r="C9" i="20"/>
</calcChain>
</file>

<file path=xl/comments1.xml><?xml version="1.0" encoding="utf-8"?>
<comments xmlns="http://schemas.openxmlformats.org/spreadsheetml/2006/main">
  <authors>
    <author>Amway</author>
    <author>Kerust</author>
  </authors>
  <commentList>
    <comment ref="A10" authorId="0" shapeId="0">
      <text>
        <r>
          <rPr>
            <b/>
            <sz val="9"/>
            <color indexed="81"/>
            <rFont val="宋体"/>
            <charset val="134"/>
          </rPr>
          <t>Amway:</t>
        </r>
        <r>
          <rPr>
            <sz val="9"/>
            <color indexed="81"/>
            <rFont val="宋体"/>
            <charset val="134"/>
          </rPr>
          <t xml:space="preserve">
版本名称一般是产品名称+版本号</t>
        </r>
      </text>
    </comment>
    <comment ref="E10" authorId="1" shapeId="0">
      <text>
        <r>
          <rPr>
            <b/>
            <sz val="9"/>
            <color indexed="81"/>
            <rFont val="宋体"/>
            <charset val="134"/>
          </rPr>
          <t>Kerust:</t>
        </r>
        <r>
          <rPr>
            <sz val="9"/>
            <color indexed="81"/>
            <rFont val="宋体"/>
            <charset val="134"/>
          </rPr>
          <t xml:space="preserve">
如实际上线时间与计划上线时间不符，需填写不一致原因</t>
        </r>
      </text>
    </comment>
  </commentList>
</comments>
</file>

<file path=xl/comments2.xml><?xml version="1.0" encoding="utf-8"?>
<comments xmlns="http://schemas.openxmlformats.org/spreadsheetml/2006/main">
  <authors>
    <author>注</author>
    <author>刘健忠</author>
  </authors>
  <commentList>
    <comment ref="C3" authorId="0" shapeId="0">
      <text>
        <r>
          <rPr>
            <b/>
            <sz val="9"/>
            <color indexed="81"/>
            <rFont val="宋体"/>
            <charset val="134"/>
          </rPr>
          <t>注:</t>
        </r>
        <r>
          <rPr>
            <sz val="9"/>
            <color indexed="81"/>
            <rFont val="宋体"/>
            <charset val="134"/>
          </rPr>
          <t xml:space="preserve">
一般情况下，尽量不要直接复制ISR中的用户表述，而应根据业务分析员的理解及和用户的澄清结果整理后清晰描述（即用户需求）</t>
        </r>
      </text>
    </comment>
    <comment ref="D3" authorId="0" shapeId="0">
      <text>
        <r>
          <rPr>
            <b/>
            <sz val="9"/>
            <color indexed="81"/>
            <rFont val="宋体"/>
            <charset val="134"/>
          </rPr>
          <t>注:</t>
        </r>
        <r>
          <rPr>
            <sz val="9"/>
            <color indexed="81"/>
            <rFont val="宋体"/>
            <charset val="134"/>
          </rPr>
          <t xml:space="preserve">
经过分析后，详细描述系统中所有需要修改到的地方，以及如何修改。如果内容较多，这里可以只填写摘要和索引，并说明具体参考系统需求说明书哪个章节</t>
        </r>
      </text>
    </comment>
    <comment ref="I3" authorId="0" shapeId="0">
      <text>
        <r>
          <rPr>
            <b/>
            <sz val="9"/>
            <color indexed="81"/>
            <rFont val="宋体"/>
            <charset val="134"/>
          </rPr>
          <t>注:</t>
        </r>
        <r>
          <rPr>
            <sz val="9"/>
            <color indexed="81"/>
            <rFont val="宋体"/>
            <charset val="134"/>
          </rPr>
          <t xml:space="preserve">
待分析：BA未完成ISR的分析，仅将ISR从Remedy导入排期表
待排期：BA已在Remedy中接受了该ISR，并已在排期表中记录
已挂起：用户需求尚待确定/需求评估时机未成熟
已排期：该ISR已纳入某个版本并已冻结
已上线：该ISR已上线</t>
        </r>
      </text>
    </comment>
    <comment ref="L3" authorId="1" shapeId="0">
      <text>
        <r>
          <rPr>
            <b/>
            <sz val="9"/>
            <color indexed="81"/>
            <rFont val="宋体"/>
            <charset val="134"/>
          </rPr>
          <t>(K列“功能点数”和L列“总功能点数”选择其中一列填写)</t>
        </r>
      </text>
    </comment>
    <comment ref="M3" authorId="1" shapeId="0">
      <text>
        <r>
          <rPr>
            <b/>
            <sz val="9"/>
            <color indexed="81"/>
            <rFont val="宋体"/>
            <charset val="134"/>
          </rPr>
          <t>(K列“功能点数”和L列“总功能点数”选择其中一列填写)</t>
        </r>
      </text>
    </comment>
    <comment ref="R3" authorId="1" shapeId="0">
      <text>
        <r>
          <rPr>
            <b/>
            <sz val="9"/>
            <color indexed="81"/>
            <rFont val="宋体"/>
            <charset val="134"/>
          </rPr>
          <t>(K列“功能点数”和L列“总功能点数”选择其中一列填写)</t>
        </r>
      </text>
    </comment>
  </commentList>
</comments>
</file>

<file path=xl/comments3.xml><?xml version="1.0" encoding="utf-8"?>
<comments xmlns="http://schemas.openxmlformats.org/spreadsheetml/2006/main">
  <authors>
    <author>刘健忠</author>
  </authors>
  <commentList>
    <comment ref="K4" authorId="0" shapeId="0">
      <text>
        <r>
          <rPr>
            <b/>
            <sz val="9"/>
            <color indexed="81"/>
            <rFont val="宋体"/>
            <charset val="134"/>
          </rPr>
          <t>(K列“功能点数”和L列“总功能点数”选择其中一列填写)</t>
        </r>
      </text>
    </comment>
    <comment ref="L4" authorId="0" shapeId="0">
      <text>
        <r>
          <rPr>
            <b/>
            <sz val="9"/>
            <color indexed="81"/>
            <rFont val="宋体"/>
            <charset val="134"/>
          </rPr>
          <t>(K列“功能点数”和L列“总功能点数”选择其中一列填写)</t>
        </r>
      </text>
    </comment>
  </commentList>
</comments>
</file>

<file path=xl/comments4.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根据以下“退回ISR清单”内容自动计算</t>
        </r>
      </text>
    </comment>
  </commentList>
</comments>
</file>

<file path=xl/comments5.xml><?xml version="1.0" encoding="utf-8"?>
<comments xmlns="http://schemas.openxmlformats.org/spreadsheetml/2006/main">
  <authors>
    <author>amway</author>
  </authors>
  <commentList>
    <comment ref="B5" authorId="0" shapeId="0">
      <text>
        <r>
          <rPr>
            <b/>
            <sz val="9"/>
            <color indexed="81"/>
            <rFont val="宋体"/>
            <charset val="134"/>
          </rPr>
          <t>amway:</t>
        </r>
        <r>
          <rPr>
            <sz val="9"/>
            <color indexed="81"/>
            <rFont val="宋体"/>
            <charset val="134"/>
          </rPr>
          <t xml:space="preserve">
注:
自动统计“ISR清单”中需求状态为“待分析”的ISR数量</t>
        </r>
      </text>
    </comment>
    <comment ref="B6" authorId="0" shapeId="0">
      <text>
        <r>
          <rPr>
            <b/>
            <sz val="9"/>
            <color indexed="81"/>
            <rFont val="宋体"/>
            <charset val="134"/>
          </rPr>
          <t>amway:</t>
        </r>
        <r>
          <rPr>
            <sz val="9"/>
            <color indexed="81"/>
            <rFont val="宋体"/>
            <charset val="134"/>
          </rPr>
          <t xml:space="preserve">
注:
自动统计“ISR清单”中需求状态为“待排期”的ISR数量</t>
        </r>
      </text>
    </comment>
    <comment ref="B7" authorId="0" shapeId="0">
      <text>
        <r>
          <rPr>
            <b/>
            <sz val="9"/>
            <color indexed="81"/>
            <rFont val="宋体"/>
            <charset val="134"/>
          </rPr>
          <t>amway:</t>
        </r>
        <r>
          <rPr>
            <sz val="9"/>
            <color indexed="81"/>
            <rFont val="宋体"/>
            <charset val="134"/>
          </rPr>
          <t xml:space="preserve">
注:
自动统计“ISR清单”中需求状态为“已挂起”的ISR数量</t>
        </r>
      </text>
    </comment>
    <comment ref="G10" authorId="0" shapeId="0">
      <text>
        <r>
          <rPr>
            <b/>
            <sz val="9"/>
            <color indexed="81"/>
            <rFont val="宋体"/>
            <charset val="134"/>
          </rPr>
          <t>amway:</t>
        </r>
        <r>
          <rPr>
            <sz val="9"/>
            <color indexed="81"/>
            <rFont val="宋体"/>
            <charset val="134"/>
          </rPr>
          <t xml:space="preserve">
需要手动选择,不可以复制
状态为已挂起的ISR,需要参照状态标志位说明进一步分析</t>
        </r>
      </text>
    </comment>
  </commentList>
</comments>
</file>

<file path=xl/comments6.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7.xml><?xml version="1.0" encoding="utf-8"?>
<comments xmlns="http://schemas.openxmlformats.org/spreadsheetml/2006/main">
  <authors>
    <author>Amway</author>
  </authors>
  <commentList>
    <comment ref="I1" authorId="0" shapeId="0">
      <text>
        <r>
          <rPr>
            <b/>
            <sz val="9"/>
            <color indexed="81"/>
            <rFont val="宋体"/>
            <charset val="134"/>
          </rPr>
          <t>Amway:</t>
        </r>
        <r>
          <rPr>
            <sz val="9"/>
            <color indexed="81"/>
            <rFont val="宋体"/>
            <charset val="134"/>
          </rPr>
          <t xml:space="preserve">
没有上线的ISR和问题单都是已提交，上线后都是已关闭。主要用于筛选哪些是历史的ISR。</t>
        </r>
      </text>
    </comment>
    <comment ref="J1" authorId="0" shapeId="0">
      <text>
        <r>
          <rPr>
            <b/>
            <sz val="9"/>
            <color indexed="81"/>
            <rFont val="宋体"/>
            <charset val="134"/>
          </rPr>
          <t>Amway:</t>
        </r>
        <r>
          <rPr>
            <sz val="9"/>
            <color indexed="81"/>
            <rFont val="宋体"/>
            <charset val="134"/>
          </rPr>
          <t xml:space="preserve">
重要性越高，分数越高，最高分10，最低分1</t>
        </r>
      </text>
    </comment>
    <comment ref="K1" authorId="0" shapeId="0">
      <text>
        <r>
          <rPr>
            <b/>
            <sz val="9"/>
            <color indexed="81"/>
            <rFont val="宋体"/>
            <charset val="134"/>
          </rPr>
          <t>Amway:</t>
        </r>
        <r>
          <rPr>
            <sz val="9"/>
            <color indexed="81"/>
            <rFont val="宋体"/>
            <charset val="134"/>
          </rPr>
          <t xml:space="preserve">
紧急程度越高，分数越高，最高分10，最低分1</t>
        </r>
      </text>
    </comment>
  </commentList>
</comments>
</file>

<file path=xl/comments8.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9.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0.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1.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2.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3.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4.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comments15.xml><?xml version="1.0" encoding="utf-8"?>
<comments xmlns="http://schemas.openxmlformats.org/spreadsheetml/2006/main">
  <authors>
    <author>amway</author>
    <author>Amway</author>
  </authors>
  <commentList>
    <comment ref="B6" authorId="0" shapeId="0">
      <text>
        <r>
          <rPr>
            <b/>
            <sz val="9"/>
            <color indexed="81"/>
            <rFont val="宋体"/>
            <charset val="134"/>
          </rPr>
          <t>amway:</t>
        </r>
        <r>
          <rPr>
            <sz val="9"/>
            <color indexed="81"/>
            <rFont val="宋体"/>
            <charset val="134"/>
          </rPr>
          <t xml:space="preserve">
注:
自动统计“ISR清单”中需求状态为“待分析”的ISR数量</t>
        </r>
      </text>
    </comment>
    <comment ref="B7" authorId="0" shapeId="0">
      <text>
        <r>
          <rPr>
            <b/>
            <sz val="9"/>
            <color indexed="81"/>
            <rFont val="宋体"/>
            <charset val="134"/>
          </rPr>
          <t>amway:</t>
        </r>
        <r>
          <rPr>
            <sz val="9"/>
            <color indexed="81"/>
            <rFont val="宋体"/>
            <charset val="134"/>
          </rPr>
          <t xml:space="preserve">
注:
自动统计“ISR清单”中需求状态为“待排期”的ISR数量</t>
        </r>
      </text>
    </comment>
    <comment ref="B8" authorId="0" shapeId="0">
      <text>
        <r>
          <rPr>
            <b/>
            <sz val="9"/>
            <color indexed="81"/>
            <rFont val="宋体"/>
            <charset val="134"/>
          </rPr>
          <t>amway:</t>
        </r>
        <r>
          <rPr>
            <sz val="9"/>
            <color indexed="81"/>
            <rFont val="宋体"/>
            <charset val="134"/>
          </rPr>
          <t xml:space="preserve">
注:
自动统计“ISR清单”中需求状态为“已挂起”的ISR数量</t>
        </r>
      </text>
    </comment>
    <comment ref="B9" authorId="0" shapeId="0">
      <text>
        <r>
          <rPr>
            <b/>
            <sz val="9"/>
            <color indexed="81"/>
            <rFont val="宋体"/>
            <charset val="134"/>
          </rPr>
          <t>amway:</t>
        </r>
        <r>
          <rPr>
            <sz val="9"/>
            <color indexed="81"/>
            <rFont val="宋体"/>
            <charset val="134"/>
          </rPr>
          <t xml:space="preserve">
从“退回ISR清单”sheet手动获取</t>
        </r>
      </text>
    </comment>
    <comment ref="B12" authorId="1" shapeId="0">
      <text>
        <r>
          <rPr>
            <b/>
            <sz val="9"/>
            <color indexed="81"/>
            <rFont val="宋体"/>
            <charset val="134"/>
          </rPr>
          <t>Amway:</t>
        </r>
        <r>
          <rPr>
            <sz val="9"/>
            <color indexed="81"/>
            <rFont val="宋体"/>
            <charset val="134"/>
          </rPr>
          <t xml:space="preserve">
版本详细工作计划见8th Manager</t>
        </r>
      </text>
    </comment>
  </commentList>
</comments>
</file>

<file path=xl/sharedStrings.xml><?xml version="1.0" encoding="utf-8"?>
<sst xmlns="http://schemas.openxmlformats.org/spreadsheetml/2006/main" count="679" uniqueCount="291">
  <si>
    <t>保密级别:内部使用级</t>
    <phoneticPr fontId="1" type="noConversion"/>
  </si>
  <si>
    <t>修订记录</t>
    <phoneticPr fontId="1" type="noConversion"/>
  </si>
  <si>
    <t>作者</t>
    <phoneticPr fontId="1" type="noConversion"/>
  </si>
  <si>
    <t>审批人</t>
    <phoneticPr fontId="1" type="noConversion"/>
  </si>
  <si>
    <t>描述</t>
    <phoneticPr fontId="1" type="noConversion"/>
  </si>
  <si>
    <t>模版版本号:V1.0</t>
    <phoneticPr fontId="1" type="noConversion"/>
  </si>
  <si>
    <t>发布日期</t>
    <phoneticPr fontId="1" type="noConversion"/>
  </si>
  <si>
    <t>发布版本号</t>
    <phoneticPr fontId="1" type="noConversion"/>
  </si>
  <si>
    <t>（2）版本需求冻结日期与版本上线日期之间的间隔时间是根据可投入该例行升级工作的人力决定的。</t>
    <phoneticPr fontId="1" type="noConversion"/>
  </si>
  <si>
    <t>填写注意点：</t>
    <phoneticPr fontId="1" type="noConversion"/>
  </si>
  <si>
    <t>填写说明：本页内容由产品线负责人填写，每个季度最后一周更新下季度的版本计划</t>
    <phoneticPr fontId="1" type="noConversion"/>
  </si>
  <si>
    <t>（1）一般系统升级版本两周一个或一个月一个，周期不宜过短或过长。</t>
    <phoneticPr fontId="1" type="noConversion"/>
  </si>
  <si>
    <t>（3）版本需求冻结日期与版本上线日期之间要预留充足的时间，这段时间用于做需求分析，设计，编码、测试与部署</t>
    <phoneticPr fontId="1" type="noConversion"/>
  </si>
  <si>
    <t>（4）版本上线日期注意与SST的工作周期相结合</t>
    <phoneticPr fontId="1" type="noConversion"/>
  </si>
  <si>
    <t>版本名称</t>
    <phoneticPr fontId="1" type="noConversion"/>
  </si>
  <si>
    <t>版本上线日期</t>
    <phoneticPr fontId="1" type="noConversion"/>
  </si>
  <si>
    <t>备注</t>
    <phoneticPr fontId="1" type="noConversion"/>
  </si>
  <si>
    <t>版本总体计划：</t>
    <phoneticPr fontId="1" type="noConversion"/>
  </si>
  <si>
    <t>活动名称</t>
    <phoneticPr fontId="1" type="noConversion"/>
  </si>
  <si>
    <t>应用系统上线</t>
    <phoneticPr fontId="1" type="noConversion"/>
  </si>
  <si>
    <t>备注</t>
    <phoneticPr fontId="1" type="noConversion"/>
  </si>
  <si>
    <t>*ISR或CQ问题单编号</t>
    <phoneticPr fontId="1" type="noConversion"/>
  </si>
  <si>
    <t>*提出日期</t>
    <phoneticPr fontId="1" type="noConversion"/>
  </si>
  <si>
    <t>*申请原因或摘要</t>
    <phoneticPr fontId="1" type="noConversion"/>
  </si>
  <si>
    <t>*具体需求或描述</t>
    <phoneticPr fontId="1" type="noConversion"/>
  </si>
  <si>
    <t>*服务等级或问题级别</t>
    <phoneticPr fontId="1" type="noConversion"/>
  </si>
  <si>
    <t>*处理人</t>
    <phoneticPr fontId="1" type="noConversion"/>
  </si>
  <si>
    <t>*用户期望完成时间</t>
    <phoneticPr fontId="1" type="noConversion"/>
  </si>
  <si>
    <t>SST评分</t>
    <phoneticPr fontId="1" type="noConversion"/>
  </si>
  <si>
    <t>*状态</t>
    <phoneticPr fontId="1" type="noConversion"/>
  </si>
  <si>
    <t>*重要性</t>
    <phoneticPr fontId="1" type="noConversion"/>
  </si>
  <si>
    <t>*紧急程度</t>
    <phoneticPr fontId="1" type="noConversion"/>
  </si>
  <si>
    <t>*优先级别</t>
    <phoneticPr fontId="1" type="noConversion"/>
  </si>
  <si>
    <t>*受影响的关联系统</t>
    <phoneticPr fontId="1" type="noConversion"/>
  </si>
  <si>
    <t>*是否需要试运行</t>
    <phoneticPr fontId="1" type="noConversion"/>
  </si>
  <si>
    <t>*纳入版本</t>
    <phoneticPr fontId="1" type="noConversion"/>
  </si>
  <si>
    <t>*工作量估算（人天）</t>
    <phoneticPr fontId="1" type="noConversion"/>
  </si>
  <si>
    <t>*是否需要用户验收测试</t>
    <phoneticPr fontId="1" type="noConversion"/>
  </si>
  <si>
    <t>XXXXXX产品  版本需求排期表</t>
    <phoneticPr fontId="1" type="noConversion"/>
  </si>
  <si>
    <t>DTF-074版本需求排期表</t>
    <phoneticPr fontId="1" type="noConversion"/>
  </si>
  <si>
    <t>填写说明：
1、进行排期前，BA收集ISR和问题单，并填写初稿。排期时直接在该表中填写调整后的结果；
2、黄色部分的信息从Remedy中导出，绿色部分开发团队根据自己的评估填写内容。
3、产品线计划每个版本可投入的维护人力由产品线负责人给出，用于对比每个版本计划投入人力是否超出了预算。
4、对于产品线维护类中的开发任务，如果归到例行版本中一起发布，也要通过排期机制进行排期，并将结果列到该表中
5、对于一个ISR或问题单在不同的版本中实现的情况，同一个ISR或问题单写多行，分别纳入不同的版本，在备注列概要说</t>
  </si>
  <si>
    <t>冻结公告发布日期</t>
    <phoneticPr fontId="1" type="noConversion"/>
  </si>
  <si>
    <t>注意：所有列为必填字段，黄色列内容由BA填写，绿色列内容由产品线负责人填写；</t>
    <phoneticPr fontId="1" type="noConversion"/>
  </si>
  <si>
    <t>ISR编号</t>
    <phoneticPr fontId="1" type="noConversion"/>
  </si>
  <si>
    <t>提出日期</t>
  </si>
  <si>
    <t>提出日期</t>
    <phoneticPr fontId="1" type="noConversion"/>
  </si>
  <si>
    <t>需求原因及描述</t>
  </si>
  <si>
    <t>需求原因及描述</t>
    <phoneticPr fontId="1" type="noConversion"/>
  </si>
  <si>
    <t>申请人</t>
  </si>
  <si>
    <t>受影响的关联系统</t>
    <phoneticPr fontId="1" type="noConversion"/>
  </si>
  <si>
    <t>产品线计划每个版本可投入的维护人力（人天）：</t>
    <phoneticPr fontId="1" type="noConversion"/>
  </si>
  <si>
    <t>缺陷及问题单编号</t>
    <phoneticPr fontId="1" type="noConversion"/>
  </si>
  <si>
    <t>提交时间</t>
    <phoneticPr fontId="1" type="noConversion"/>
  </si>
  <si>
    <t>状态</t>
    <phoneticPr fontId="1" type="noConversion"/>
  </si>
  <si>
    <t>缺陷及问题描述</t>
    <phoneticPr fontId="1" type="noConversion"/>
  </si>
  <si>
    <t>注意：本页内容全部由产品线负责人填写，所有列都是必填项</t>
    <phoneticPr fontId="1" type="noConversion"/>
  </si>
  <si>
    <t>估算总工作量</t>
    <phoneticPr fontId="1" type="noConversion"/>
  </si>
  <si>
    <t>XXX系统 XX月份版本冻结公告</t>
    <phoneticPr fontId="1" type="noConversion"/>
  </si>
  <si>
    <t>计划完成日期</t>
    <phoneticPr fontId="1" type="noConversion"/>
  </si>
  <si>
    <t>计划开始日期</t>
    <phoneticPr fontId="1" type="noConversion"/>
  </si>
  <si>
    <t>年初产品线计划可投入的维护人力（人天）</t>
    <phoneticPr fontId="1" type="noConversion"/>
  </si>
  <si>
    <t>版本名称</t>
    <phoneticPr fontId="1" type="noConversion"/>
  </si>
  <si>
    <t>冻结公告发送对象：</t>
    <phoneticPr fontId="1" type="noConversion"/>
  </si>
  <si>
    <t>ISR编号</t>
    <phoneticPr fontId="1" type="noConversion"/>
  </si>
  <si>
    <t>缺陷及问题单编号</t>
    <phoneticPr fontId="1" type="noConversion"/>
  </si>
  <si>
    <t>版本名称</t>
    <phoneticPr fontId="1" type="noConversion"/>
  </si>
  <si>
    <t>上线日期</t>
    <phoneticPr fontId="1" type="noConversion"/>
  </si>
  <si>
    <t>系统名称</t>
    <phoneticPr fontId="1" type="noConversion"/>
  </si>
  <si>
    <t>版本包含的ISR：</t>
    <phoneticPr fontId="1" type="noConversion"/>
  </si>
  <si>
    <t>版本包含的问题单：</t>
    <phoneticPr fontId="1" type="noConversion"/>
  </si>
  <si>
    <t>关联系统版本：</t>
    <phoneticPr fontId="1" type="noConversion"/>
  </si>
  <si>
    <t>受影响的关联系统</t>
    <phoneticPr fontId="1" type="noConversion"/>
  </si>
  <si>
    <t>估算总工作量</t>
    <phoneticPr fontId="1" type="noConversion"/>
  </si>
  <si>
    <t>用户验收测试</t>
    <phoneticPr fontId="1" type="noConversion"/>
  </si>
  <si>
    <t>系统测试</t>
    <phoneticPr fontId="1" type="noConversion"/>
  </si>
  <si>
    <t>版本冻结公告制定并正式发布</t>
    <phoneticPr fontId="1" type="noConversion"/>
  </si>
  <si>
    <t>备注</t>
    <phoneticPr fontId="1" type="noConversion"/>
  </si>
  <si>
    <t>实际上线日期</t>
    <phoneticPr fontId="1" type="noConversion"/>
  </si>
  <si>
    <t>待处理ISR清单：</t>
    <phoneticPr fontId="1" type="noConversion"/>
  </si>
  <si>
    <t>退回的ISR数量</t>
    <phoneticPr fontId="1" type="noConversion"/>
  </si>
  <si>
    <t>退回的ISR清单：</t>
    <phoneticPr fontId="1" type="noConversion"/>
  </si>
  <si>
    <t>XXX系统 退回ISR清单</t>
    <phoneticPr fontId="1" type="noConversion"/>
  </si>
  <si>
    <r>
      <t xml:space="preserve">    各位同事，以下是</t>
    </r>
    <r>
      <rPr>
        <b/>
        <sz val="10"/>
        <color indexed="12"/>
        <rFont val="宋体"/>
        <charset val="134"/>
      </rPr>
      <t>XXX</t>
    </r>
    <r>
      <rPr>
        <b/>
        <sz val="10"/>
        <rFont val="宋体"/>
        <charset val="134"/>
      </rPr>
      <t>系统</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日期间（统计周期为1个月），电脑部经过分析并且与ISR提出人确认后，退回的ISR清单。任何问题，请与本系统业务分析员联系。
    业务分析员联系方式：姓名，联系电话
    感谢大家对电脑部工作的配合。
    ISR退回标准/原因：
    1、合并到其他ISR
    2、已有其他方案
    3、用户取消
    4、用户需求变更
    5、用户需求重复提交
    6、当前技术无法实现
    7、缺乏公司业务政策支持/业务政策即将失效</t>
    </r>
    <phoneticPr fontId="1" type="noConversion"/>
  </si>
  <si>
    <t>退回原因</t>
    <phoneticPr fontId="1" type="noConversion"/>
  </si>
  <si>
    <t>备注</t>
    <phoneticPr fontId="1" type="noConversion"/>
  </si>
  <si>
    <t>待排期的ISR数量</t>
    <phoneticPr fontId="1" type="noConversion"/>
  </si>
  <si>
    <t>待分析的ISR数量</t>
    <phoneticPr fontId="1" type="noConversion"/>
  </si>
  <si>
    <t>已挂起的ISR数量</t>
    <phoneticPr fontId="1" type="noConversion"/>
  </si>
  <si>
    <r>
      <t xml:space="preserve">    各位同事，以下是</t>
    </r>
    <r>
      <rPr>
        <b/>
        <sz val="10"/>
        <color indexed="12"/>
        <rFont val="宋体"/>
        <charset val="134"/>
      </rPr>
      <t>XXX</t>
    </r>
    <r>
      <rPr>
        <b/>
        <sz val="10"/>
        <rFont val="宋体"/>
        <charset val="134"/>
      </rPr>
      <t>系统截至到</t>
    </r>
    <r>
      <rPr>
        <b/>
        <sz val="10"/>
        <color indexed="12"/>
        <rFont val="宋体"/>
        <charset val="134"/>
      </rPr>
      <t>XX</t>
    </r>
    <r>
      <rPr>
        <b/>
        <sz val="10"/>
        <rFont val="宋体"/>
        <charset val="134"/>
      </rPr>
      <t>月</t>
    </r>
    <r>
      <rPr>
        <b/>
        <sz val="10"/>
        <color indexed="12"/>
        <rFont val="宋体"/>
        <charset val="134"/>
      </rPr>
      <t>XX</t>
    </r>
    <r>
      <rPr>
        <b/>
        <sz val="10"/>
        <rFont val="宋体"/>
        <charset val="134"/>
      </rPr>
      <t>日，待处理（包括待排期/已挂起）的ISR清单，排名不分先后。业务分析员将在ISR纳入排期之前，与需求ISR提出人联系沟通确认。
    在待处理期间，如果ISR的内容发生任何改变（包括推迟上线时间，提前实施，取消ISR的处理等），请ISR提出人与系统对应的业务分析员进行沟通。状态为挂起且挂起原因为“用户需求尚未确认”的ISR，若状态发生变化，请ISR提出人主动与业务分析员联系。
    业务分析员联系方式：</t>
    </r>
    <r>
      <rPr>
        <b/>
        <sz val="10"/>
        <color indexed="12"/>
        <rFont val="宋体"/>
        <charset val="134"/>
      </rPr>
      <t>姓名，联系电话</t>
    </r>
    <r>
      <rPr>
        <b/>
        <sz val="10"/>
        <rFont val="宋体"/>
        <charset val="134"/>
      </rPr>
      <t xml:space="preserve">
    感谢大家对电脑部工作的配合。</t>
    </r>
    <phoneticPr fontId="1" type="noConversion"/>
  </si>
  <si>
    <r>
      <t>本月退回的</t>
    </r>
    <r>
      <rPr>
        <b/>
        <sz val="10"/>
        <rFont val="Arial"/>
        <family val="2"/>
      </rPr>
      <t>ISR</t>
    </r>
    <r>
      <rPr>
        <b/>
        <sz val="10"/>
        <rFont val="宋体"/>
        <charset val="134"/>
      </rPr>
      <t>数量</t>
    </r>
    <phoneticPr fontId="1" type="noConversion"/>
  </si>
  <si>
    <t>二、带选择卡的邮件-操作指南</t>
    <phoneticPr fontId="1" type="noConversion"/>
  </si>
  <si>
    <r>
      <t>一）创建选项卡：</t>
    </r>
    <r>
      <rPr>
        <sz val="10"/>
        <rFont val="宋体"/>
        <charset val="134"/>
      </rPr>
      <t xml:space="preserve">
</t>
    </r>
    <r>
      <rPr>
        <sz val="10"/>
        <rFont val="Arial"/>
        <family val="2"/>
      </rPr>
      <t>1</t>
    </r>
    <r>
      <rPr>
        <sz val="10"/>
        <rFont val="宋体"/>
        <charset val="134"/>
      </rPr>
      <t>、新建邮件页面，依次选择</t>
    </r>
    <r>
      <rPr>
        <sz val="10"/>
        <rFont val="Arial"/>
        <family val="2"/>
      </rPr>
      <t xml:space="preserve"> </t>
    </r>
    <r>
      <rPr>
        <sz val="10"/>
        <color indexed="12"/>
        <rFont val="宋体"/>
        <charset val="134"/>
      </rPr>
      <t>创建</t>
    </r>
    <r>
      <rPr>
        <sz val="10"/>
        <rFont val="Arial"/>
        <family val="2"/>
      </rPr>
      <t xml:space="preserve"> </t>
    </r>
    <r>
      <rPr>
        <sz val="10"/>
        <rFont val="宋体"/>
        <charset val="134"/>
      </rPr>
      <t xml:space="preserve">-- </t>
    </r>
    <r>
      <rPr>
        <sz val="10"/>
        <color indexed="12"/>
        <rFont val="宋体"/>
        <charset val="134"/>
      </rPr>
      <t>表格</t>
    </r>
    <r>
      <rPr>
        <sz val="10"/>
        <rFont val="宋体"/>
        <charset val="134"/>
      </rPr>
      <t xml:space="preserve"> ，进入“创建表格”页面；
2、在“创建表格”页面，选择行数为1，列数为3，表格类型为 带选项卡的表格 ，并且“确定”；
</t>
    </r>
    <r>
      <rPr>
        <sz val="10"/>
        <color indexed="12"/>
        <rFont val="宋体"/>
        <charset val="134"/>
      </rPr>
      <t/>
    </r>
    <phoneticPr fontId="1" type="noConversion"/>
  </si>
  <si>
    <r>
      <t>二）选项卡标题：</t>
    </r>
    <r>
      <rPr>
        <sz val="10"/>
        <rFont val="宋体"/>
        <charset val="134"/>
      </rPr>
      <t xml:space="preserve">
</t>
    </r>
    <r>
      <rPr>
        <sz val="10"/>
        <rFont val="Arial"/>
        <family val="2"/>
      </rPr>
      <t>1</t>
    </r>
    <r>
      <rPr>
        <sz val="10"/>
        <rFont val="宋体"/>
        <charset val="134"/>
      </rPr>
      <t>、右键点击</t>
    </r>
    <r>
      <rPr>
        <sz val="10"/>
        <rFont val="Arial"/>
        <family val="2"/>
      </rPr>
      <t xml:space="preserve"> </t>
    </r>
    <r>
      <rPr>
        <sz val="10"/>
        <color indexed="12"/>
        <rFont val="宋体"/>
        <charset val="134"/>
      </rPr>
      <t>选择卡表头</t>
    </r>
    <r>
      <rPr>
        <sz val="10"/>
        <rFont val="Arial"/>
        <family val="2"/>
      </rPr>
      <t xml:space="preserve"> </t>
    </r>
    <r>
      <rPr>
        <sz val="10"/>
        <rFont val="宋体"/>
        <charset val="134"/>
      </rPr>
      <t>（如最上图选项卡填写填写</t>
    </r>
    <r>
      <rPr>
        <sz val="10"/>
        <rFont val="Arial"/>
        <family val="2"/>
      </rPr>
      <t>“</t>
    </r>
    <r>
      <rPr>
        <sz val="10"/>
        <rFont val="宋体"/>
        <charset val="134"/>
      </rPr>
      <t>冻结公告</t>
    </r>
    <r>
      <rPr>
        <sz val="10"/>
        <rFont val="Arial"/>
        <family val="2"/>
      </rPr>
      <t>”</t>
    </r>
    <r>
      <rPr>
        <sz val="10"/>
        <rFont val="宋体"/>
        <charset val="134"/>
      </rPr>
      <t>的位置），依次选择</t>
    </r>
    <r>
      <rPr>
        <sz val="10"/>
        <color indexed="12"/>
        <rFont val="Arial"/>
        <family val="2"/>
      </rPr>
      <t xml:space="preserve"> </t>
    </r>
    <r>
      <rPr>
        <sz val="10"/>
        <color indexed="12"/>
        <rFont val="宋体"/>
        <charset val="134"/>
      </rPr>
      <t>表格属性</t>
    </r>
    <r>
      <rPr>
        <sz val="10"/>
        <rFont val="Arial"/>
        <family val="2"/>
      </rPr>
      <t xml:space="preserve"> -- </t>
    </r>
    <r>
      <rPr>
        <sz val="10"/>
        <color indexed="12"/>
        <rFont val="宋体"/>
        <charset val="134"/>
      </rPr>
      <t>表格行</t>
    </r>
    <r>
      <rPr>
        <sz val="10"/>
        <color indexed="12"/>
        <rFont val="Arial"/>
        <family val="2"/>
      </rPr>
      <t xml:space="preserve"> </t>
    </r>
    <r>
      <rPr>
        <sz val="10"/>
        <color indexed="12"/>
        <rFont val="宋体"/>
        <charset val="134"/>
      </rPr>
      <t>选项卡</t>
    </r>
    <r>
      <rPr>
        <sz val="10"/>
        <rFont val="宋体"/>
        <charset val="134"/>
      </rPr>
      <t>，在</t>
    </r>
    <r>
      <rPr>
        <sz val="10"/>
        <rFont val="Arial"/>
        <family val="2"/>
      </rPr>
      <t xml:space="preserve"> </t>
    </r>
    <r>
      <rPr>
        <sz val="10"/>
        <rFont val="宋体"/>
        <charset val="134"/>
      </rPr>
      <t>附签标签和标题</t>
    </r>
    <r>
      <rPr>
        <sz val="10"/>
        <rFont val="Arial"/>
        <family val="2"/>
      </rPr>
      <t xml:space="preserve"> </t>
    </r>
    <r>
      <rPr>
        <sz val="10"/>
        <rFont val="宋体"/>
        <charset val="134"/>
      </rPr>
      <t>的空格填写标题；
2、选择卡的标题，从左到右依次为：冻结公告、待处理ISR清单、本月退回ISR清单。将整理好的需求排期表对应拷贝到选项卡即可。</t>
    </r>
    <phoneticPr fontId="1" type="noConversion"/>
  </si>
  <si>
    <t>XX产品V1.1.1</t>
  </si>
  <si>
    <r>
      <t>状态标志位说明：</t>
    </r>
    <r>
      <rPr>
        <sz val="10"/>
        <color indexed="12"/>
        <rFont val="宋体"/>
        <charset val="134"/>
      </rPr>
      <t xml:space="preserve">
待分析</t>
    </r>
    <r>
      <rPr>
        <sz val="10"/>
        <rFont val="宋体"/>
        <charset val="134"/>
      </rPr>
      <t xml:space="preserve">-开发需求分析阶段；
</t>
    </r>
    <r>
      <rPr>
        <sz val="10"/>
        <color indexed="12"/>
        <rFont val="宋体"/>
        <charset val="134"/>
      </rPr>
      <t>待排期</t>
    </r>
    <r>
      <rPr>
        <sz val="10"/>
        <rFont val="宋体"/>
        <charset val="134"/>
      </rPr>
      <t xml:space="preserve">-开发需求已被接受，等待纳入排期；
</t>
    </r>
    <r>
      <rPr>
        <sz val="10"/>
        <color indexed="12"/>
        <rFont val="宋体"/>
        <charset val="134"/>
      </rPr>
      <t>挂起1 -</t>
    </r>
    <r>
      <rPr>
        <sz val="10"/>
        <rFont val="宋体"/>
        <charset val="134"/>
      </rPr>
      <t xml:space="preserve">用户需求尚待确认；
</t>
    </r>
    <r>
      <rPr>
        <sz val="10"/>
        <color indexed="12"/>
        <rFont val="宋体"/>
        <charset val="134"/>
      </rPr>
      <t xml:space="preserve">挂起2 </t>
    </r>
    <r>
      <rPr>
        <sz val="10"/>
        <rFont val="宋体"/>
        <charset val="134"/>
      </rPr>
      <t>-需求评估时机未成熟；</t>
    </r>
    <phoneticPr fontId="1" type="noConversion"/>
  </si>
  <si>
    <t>XXX系统 待处理ISR清单</t>
    <phoneticPr fontId="1" type="noConversion"/>
  </si>
  <si>
    <t>申请人所属部门</t>
    <phoneticPr fontId="1" type="noConversion"/>
  </si>
  <si>
    <t>负责人</t>
    <phoneticPr fontId="1" type="noConversion"/>
  </si>
  <si>
    <t>申请人
所属部门</t>
    <phoneticPr fontId="1" type="noConversion"/>
  </si>
  <si>
    <t>提出人
所属部门</t>
    <phoneticPr fontId="1" type="noConversion"/>
  </si>
  <si>
    <r>
      <t xml:space="preserve">    各位同事，</t>
    </r>
    <r>
      <rPr>
        <b/>
        <sz val="10"/>
        <color indexed="12"/>
        <rFont val="宋体"/>
        <charset val="134"/>
      </rPr>
      <t>XXX</t>
    </r>
    <r>
      <rPr>
        <b/>
        <sz val="10"/>
        <rFont val="宋体"/>
        <charset val="134"/>
      </rPr>
      <t>系统</t>
    </r>
    <r>
      <rPr>
        <b/>
        <sz val="10"/>
        <color indexed="12"/>
        <rFont val="宋体"/>
        <charset val="134"/>
      </rPr>
      <t>XX</t>
    </r>
    <r>
      <rPr>
        <b/>
        <sz val="10"/>
        <rFont val="宋体"/>
        <charset val="134"/>
      </rPr>
      <t>月份的版本内容已确定，具体查看下文。 
    本版本将于</t>
    </r>
    <r>
      <rPr>
        <b/>
        <sz val="10"/>
        <color indexed="12"/>
        <rFont val="宋体"/>
        <charset val="134"/>
      </rPr>
      <t>XX</t>
    </r>
    <r>
      <rPr>
        <b/>
        <sz val="10"/>
        <rFont val="宋体"/>
        <charset val="134"/>
      </rPr>
      <t>月</t>
    </r>
    <r>
      <rPr>
        <b/>
        <sz val="10"/>
        <color indexed="12"/>
        <rFont val="宋体"/>
        <charset val="134"/>
      </rPr>
      <t>XX</t>
    </r>
    <r>
      <rPr>
        <b/>
        <sz val="10"/>
        <rFont val="宋体"/>
        <charset val="134"/>
      </rPr>
      <t>日上线，并于</t>
    </r>
    <r>
      <rPr>
        <b/>
        <sz val="10"/>
        <color indexed="30"/>
        <rFont val="宋体"/>
        <charset val="134"/>
      </rPr>
      <t>XX</t>
    </r>
    <r>
      <rPr>
        <b/>
        <sz val="10"/>
        <rFont val="宋体"/>
        <charset val="134"/>
      </rPr>
      <t>月</t>
    </r>
    <r>
      <rPr>
        <b/>
        <sz val="10"/>
        <color indexed="30"/>
        <rFont val="宋体"/>
        <charset val="134"/>
      </rPr>
      <t>XX</t>
    </r>
    <r>
      <rPr>
        <b/>
        <sz val="10"/>
        <rFont val="宋体"/>
        <charset val="134"/>
      </rPr>
      <t>日正式生效。请各ISR和问题单的提交人提早预留时间，在</t>
    </r>
    <r>
      <rPr>
        <b/>
        <sz val="10"/>
        <color indexed="12"/>
        <rFont val="宋体"/>
        <charset val="134"/>
      </rPr>
      <t>XX</t>
    </r>
    <r>
      <rPr>
        <b/>
        <sz val="10"/>
        <rFont val="宋体"/>
        <charset val="134"/>
      </rPr>
      <t>月</t>
    </r>
    <r>
      <rPr>
        <b/>
        <sz val="10"/>
        <color indexed="12"/>
        <rFont val="宋体"/>
        <charset val="134"/>
      </rPr>
      <t>XX</t>
    </r>
    <r>
      <rPr>
        <b/>
        <sz val="10"/>
        <rFont val="宋体"/>
        <charset val="134"/>
      </rPr>
      <t>日到</t>
    </r>
    <r>
      <rPr>
        <b/>
        <sz val="10"/>
        <color indexed="12"/>
        <rFont val="宋体"/>
        <charset val="134"/>
      </rPr>
      <t>XX</t>
    </r>
    <r>
      <rPr>
        <b/>
        <sz val="10"/>
        <rFont val="宋体"/>
        <charset val="134"/>
      </rPr>
      <t>月</t>
    </r>
    <r>
      <rPr>
        <b/>
        <sz val="10"/>
        <color indexed="12"/>
        <rFont val="宋体"/>
        <charset val="134"/>
      </rPr>
      <t>XX</t>
    </r>
    <r>
      <rPr>
        <b/>
        <sz val="10"/>
        <rFont val="宋体"/>
        <charset val="134"/>
      </rPr>
      <t xml:space="preserve">日期间对系统进行验收。对于没有及时验收的ISR和问题单，电脑部将不予以上线并对其重新进行排期开发。
    本公告代表版本中所涉及ISR的需求详细内容已经过业务分析员与ISR提出人的确认，电脑部已正式受理该版本中的ISR和问题单，按其描述的内容进行开发，并承诺按计划上线时间交付系统。在收到本公告到版本上线期间，如果ISR的内容需要进行任何变更（包括修改需求，推迟上线时间，提前实施，取消ISR的处理等），请ISR提出人与系统对应的业务分析员进行沟通，确认变更可行后，ISR提出人通过邮件提交用户部门总监和电脑部总监进行审批。
 </t>
    </r>
    <r>
      <rPr>
        <b/>
        <sz val="10"/>
        <color indexed="10"/>
        <rFont val="宋体"/>
        <charset val="134"/>
      </rPr>
      <t xml:space="preserve">   挂起原因为“用户需求尚未确认”的ISR，若状态发生变化，请用户主动联系业务分析员。</t>
    </r>
    <r>
      <rPr>
        <b/>
        <sz val="10"/>
        <rFont val="宋体"/>
        <charset val="134"/>
      </rPr>
      <t xml:space="preserve">
    业务分析员联系方式：</t>
    </r>
    <r>
      <rPr>
        <b/>
        <sz val="10"/>
        <color indexed="12"/>
        <rFont val="宋体"/>
        <charset val="134"/>
      </rPr>
      <t>姓名，联系电话</t>
    </r>
    <r>
      <rPr>
        <b/>
        <sz val="10"/>
        <rFont val="宋体"/>
        <charset val="134"/>
      </rPr>
      <t xml:space="preserve">
    感谢大家对电脑部工作的配合。</t>
    </r>
    <phoneticPr fontId="1" type="noConversion"/>
  </si>
  <si>
    <t>系统需求</t>
    <phoneticPr fontId="1" type="noConversion"/>
  </si>
  <si>
    <t>申请人</t>
    <phoneticPr fontId="1" type="noConversion"/>
  </si>
  <si>
    <t>用户期望完成时间</t>
    <phoneticPr fontId="1" type="noConversion"/>
  </si>
  <si>
    <t>是否进行了需求变更</t>
    <phoneticPr fontId="1" type="noConversion"/>
  </si>
  <si>
    <t>优先级别</t>
    <phoneticPr fontId="1" type="noConversion"/>
  </si>
  <si>
    <t>受影响的关联系统</t>
    <phoneticPr fontId="1" type="noConversion"/>
  </si>
  <si>
    <t>功能点数</t>
    <phoneticPr fontId="1" type="noConversion"/>
  </si>
  <si>
    <t>总工作量（人天）</t>
    <phoneticPr fontId="1" type="noConversion"/>
  </si>
  <si>
    <t>纳入版本</t>
    <phoneticPr fontId="1" type="noConversion"/>
  </si>
  <si>
    <t>SA</t>
    <phoneticPr fontId="1" type="noConversion"/>
  </si>
  <si>
    <t>编码人员</t>
    <phoneticPr fontId="1" type="noConversion"/>
  </si>
  <si>
    <t>备注</t>
    <phoneticPr fontId="1" type="noConversion"/>
  </si>
  <si>
    <t>发现版本</t>
    <phoneticPr fontId="1" type="noConversion"/>
  </si>
  <si>
    <t>提交人</t>
    <phoneticPr fontId="1" type="noConversion"/>
  </si>
  <si>
    <t>期望解决时间</t>
    <phoneticPr fontId="1" type="noConversion"/>
  </si>
  <si>
    <t>状态</t>
    <phoneticPr fontId="1" type="noConversion"/>
  </si>
  <si>
    <t>优先级别</t>
    <phoneticPr fontId="1" type="noConversion"/>
  </si>
  <si>
    <t>受影响的关联系统</t>
    <phoneticPr fontId="1" type="noConversion"/>
  </si>
  <si>
    <t>编码人员</t>
    <phoneticPr fontId="1" type="noConversion"/>
  </si>
  <si>
    <t>备注</t>
    <phoneticPr fontId="1" type="noConversion"/>
  </si>
  <si>
    <t>申请人
所属部门</t>
    <phoneticPr fontId="1" type="noConversion"/>
  </si>
  <si>
    <t>需求状态</t>
    <phoneticPr fontId="1" type="noConversion"/>
  </si>
  <si>
    <t>变更记录</t>
    <phoneticPr fontId="36" type="noConversion"/>
  </si>
  <si>
    <t>提出日期</t>
    <phoneticPr fontId="36" type="noConversion"/>
  </si>
  <si>
    <t>提出方</t>
    <phoneticPr fontId="36" type="noConversion"/>
  </si>
  <si>
    <t>变更内容</t>
    <phoneticPr fontId="36" type="noConversion"/>
  </si>
  <si>
    <t>审批记录</t>
    <phoneticPr fontId="36" type="noConversion"/>
  </si>
  <si>
    <t>审批人（角色）</t>
    <phoneticPr fontId="36" type="noConversion"/>
  </si>
  <si>
    <t>审批人（名字）</t>
    <phoneticPr fontId="36" type="noConversion"/>
  </si>
  <si>
    <t>审批意见</t>
    <phoneticPr fontId="36" type="noConversion"/>
  </si>
  <si>
    <t>用户代表</t>
    <phoneticPr fontId="36" type="noConversion"/>
  </si>
  <si>
    <t>Team Leader</t>
    <phoneticPr fontId="36" type="noConversion"/>
  </si>
  <si>
    <t>QC</t>
    <phoneticPr fontId="36" type="noConversion"/>
  </si>
  <si>
    <t>关联系统负责人</t>
    <phoneticPr fontId="36" type="noConversion"/>
  </si>
  <si>
    <t>其他</t>
    <phoneticPr fontId="36" type="noConversion"/>
  </si>
  <si>
    <t>粘贴更新后的版本冻结公告</t>
    <phoneticPr fontId="36" type="noConversion"/>
  </si>
  <si>
    <t>冻结公告发送对象：</t>
    <phoneticPr fontId="36" type="noConversion"/>
  </si>
  <si>
    <t xml:space="preserve">   一）冻结公告邮件使用选项卡展现冻结公告，待处理ISR清单，本月退回ISR清单。参照以下邮件标题。冻结公告的内容显示在首层。</t>
    <phoneticPr fontId="1" type="noConversion"/>
  </si>
  <si>
    <t xml:space="preserve">一、冻结公告/冻结公告（变更）邮件概览
</t>
    <phoneticPr fontId="1" type="noConversion"/>
  </si>
  <si>
    <t xml:space="preserve">    二）冻结公告（变更）邮件模块。</t>
    <phoneticPr fontId="1" type="noConversion"/>
  </si>
  <si>
    <r>
      <t>PS</t>
    </r>
    <r>
      <rPr>
        <sz val="10"/>
        <rFont val="宋体"/>
        <charset val="134"/>
      </rPr>
      <t>：参考邮件规范及操作指引</t>
    </r>
    <phoneticPr fontId="36" type="noConversion"/>
  </si>
  <si>
    <t>评审记录</t>
    <phoneticPr fontId="36" type="noConversion"/>
  </si>
  <si>
    <t>变更原因及内容</t>
    <phoneticPr fontId="36" type="noConversion"/>
  </si>
  <si>
    <r>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t>
    </r>
    <r>
      <rPr>
        <sz val="10"/>
        <color indexed="10"/>
        <rFont val="宋体"/>
        <charset val="134"/>
      </rPr>
      <t>DC Leader（Henry Wang）</t>
    </r>
    <r>
      <rPr>
        <sz val="10"/>
        <rFont val="宋体"/>
        <charset val="134"/>
      </rPr>
      <t>，DataCenter（Ellen Fan，Kevin Pan, Tracy Yu，</t>
    </r>
    <r>
      <rPr>
        <sz val="10"/>
        <color indexed="10"/>
        <rFont val="宋体"/>
        <charset val="134"/>
      </rPr>
      <t>Narwhat Guan</t>
    </r>
    <r>
      <rPr>
        <sz val="10"/>
        <rFont val="宋体"/>
        <charset val="134"/>
      </rPr>
      <t>），关联/辅改系统负责人，开发团队Leaders（Wilson wen，Michel Chen，Ray Kwong），系统开发总监（Paul Lam）</t>
    </r>
    <phoneticPr fontId="36" type="noConversion"/>
  </si>
  <si>
    <t>本次版本中ISR对应提交人，ISR对应提交人上司（总监级），问题单提交人，该产品线的全部用户代表，产品线成员，SQA，测试设计人员，测试管理员，应用系统管理员，AST Leader（Echo Wu），配置管理员，Servicedesk邮箱，ITSC（Aaron Huang），安全专家、服务器组、网络组、DC Leader（Henry Wang），DataCenter（Ellen Fan，Kevin Pan, Tracy Yu，Narwhat Guan），关联/辅改系统负责人，开发团队Leaders（Michel Chen，Ray Kwong），系统开发总监（Paul Lam），SQA Leader（Jonathan Hsieh）</t>
    <phoneticPr fontId="36" type="noConversion"/>
  </si>
  <si>
    <t>待排期的ISR数量</t>
    <phoneticPr fontId="44" type="noConversion"/>
  </si>
  <si>
    <t>已挂起的ISR数量</t>
    <phoneticPr fontId="44" type="noConversion"/>
  </si>
  <si>
    <r>
      <t>本月退回的</t>
    </r>
    <r>
      <rPr>
        <b/>
        <sz val="10"/>
        <rFont val="Arial"/>
        <family val="2"/>
      </rPr>
      <t>ISR</t>
    </r>
    <r>
      <rPr>
        <b/>
        <sz val="10"/>
        <rFont val="宋体"/>
        <charset val="134"/>
      </rPr>
      <t>数量</t>
    </r>
    <phoneticPr fontId="44" type="noConversion"/>
  </si>
  <si>
    <t>版本总体计划：</t>
    <phoneticPr fontId="1" type="noConversion"/>
  </si>
  <si>
    <t>版本包含的问题单：</t>
    <phoneticPr fontId="1" type="noConversion"/>
  </si>
  <si>
    <t>缺陷及问题单编号</t>
    <phoneticPr fontId="1" type="noConversion"/>
  </si>
  <si>
    <t>申请人</t>
    <phoneticPr fontId="1" type="noConversion"/>
  </si>
  <si>
    <t>受影响的关联系统</t>
    <phoneticPr fontId="1" type="noConversion"/>
  </si>
  <si>
    <t>待分析的ISR数量</t>
    <phoneticPr fontId="44" type="noConversion"/>
  </si>
  <si>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Kwong），系统开发总监（Paul Lam），SQA Leader（Holly He）</t>
    <phoneticPr fontId="1" type="noConversion"/>
  </si>
  <si>
    <r>
      <rPr>
        <sz val="10"/>
        <rFont val="宋体"/>
        <charset val="134"/>
      </rPr>
      <t>海外购跳转</t>
    </r>
    <r>
      <rPr>
        <sz val="10"/>
        <rFont val="Arial"/>
        <family val="2"/>
      </rPr>
      <t>ACCL HYBRIS</t>
    </r>
    <r>
      <rPr>
        <sz val="10"/>
        <rFont val="宋体"/>
        <charset val="134"/>
      </rPr>
      <t>，用回</t>
    </r>
    <r>
      <rPr>
        <sz val="10"/>
        <rFont val="Arial"/>
        <family val="2"/>
      </rPr>
      <t>INT channel</t>
    </r>
    <r>
      <rPr>
        <sz val="10"/>
        <rFont val="宋体"/>
        <charset val="134"/>
      </rPr>
      <t>，如果是正常</t>
    </r>
    <r>
      <rPr>
        <sz val="10"/>
        <rFont val="Arial"/>
        <family val="2"/>
      </rPr>
      <t>ADA</t>
    </r>
    <r>
      <rPr>
        <sz val="10"/>
        <rFont val="宋体"/>
        <charset val="134"/>
      </rPr>
      <t>登陆，就使用内部</t>
    </r>
    <r>
      <rPr>
        <sz val="10"/>
        <rFont val="Arial"/>
        <family val="2"/>
      </rPr>
      <t>SSO</t>
    </r>
    <r>
      <rPr>
        <sz val="10"/>
        <rFont val="宋体"/>
        <charset val="134"/>
      </rPr>
      <t>，如果不是</t>
    </r>
    <r>
      <rPr>
        <sz val="10"/>
        <rFont val="Arial"/>
        <family val="2"/>
      </rPr>
      <t>ADA</t>
    </r>
    <r>
      <rPr>
        <sz val="10"/>
        <rFont val="宋体"/>
        <charset val="134"/>
      </rPr>
      <t>登陆直接跳到</t>
    </r>
    <r>
      <rPr>
        <sz val="10"/>
        <rFont val="Arial"/>
        <family val="2"/>
      </rPr>
      <t>ACCL HYBRIS</t>
    </r>
    <r>
      <rPr>
        <sz val="10"/>
        <rFont val="宋体"/>
        <charset val="134"/>
      </rPr>
      <t>首页即可；</t>
    </r>
    <phoneticPr fontId="1" type="noConversion"/>
  </si>
  <si>
    <t>Ivy</t>
    <phoneticPr fontId="1" type="noConversion"/>
  </si>
  <si>
    <t>DEST</t>
    <phoneticPr fontId="1" type="noConversion"/>
  </si>
  <si>
    <t>总工作量（费用）</t>
    <phoneticPr fontId="1" type="noConversion"/>
  </si>
  <si>
    <r>
      <rPr>
        <sz val="10"/>
        <color indexed="12"/>
        <rFont val="宋体"/>
        <charset val="134"/>
      </rPr>
      <t>安利海外购</t>
    </r>
    <r>
      <rPr>
        <sz val="10"/>
        <color indexed="12"/>
        <rFont val="Arial"/>
        <family val="2"/>
      </rPr>
      <t>v1.16.0</t>
    </r>
    <phoneticPr fontId="1" type="noConversion"/>
  </si>
  <si>
    <r>
      <rPr>
        <sz val="10"/>
        <color indexed="12"/>
        <rFont val="宋体"/>
        <charset val="134"/>
      </rPr>
      <t>安利海外购</t>
    </r>
    <r>
      <rPr>
        <sz val="10"/>
        <color indexed="12"/>
        <rFont val="Arial"/>
        <family val="2"/>
      </rPr>
      <t>v1.17.0</t>
    </r>
    <phoneticPr fontId="1" type="noConversion"/>
  </si>
  <si>
    <r>
      <rPr>
        <sz val="10"/>
        <color indexed="12"/>
        <rFont val="宋体"/>
        <charset val="134"/>
      </rPr>
      <t>安利海外购</t>
    </r>
    <r>
      <rPr>
        <sz val="10"/>
        <color indexed="12"/>
        <rFont val="Arial"/>
        <family val="2"/>
      </rPr>
      <t>v1.18.0</t>
    </r>
    <phoneticPr fontId="1" type="noConversion"/>
  </si>
  <si>
    <t>由于海外购部分产品经常出现供不应求的情况，为提升顾客的购货体验，申请在海外购官网增加显示缺货功能。</t>
    <phoneticPr fontId="1" type="noConversion"/>
  </si>
  <si>
    <t>Xionghui Ma</t>
  </si>
  <si>
    <t>Xionghui Ma</t>
    <phoneticPr fontId="1" type="noConversion"/>
  </si>
  <si>
    <t>LC</t>
  </si>
  <si>
    <t>LC</t>
    <phoneticPr fontId="1" type="noConversion"/>
  </si>
  <si>
    <t>ISR2017051701107A</t>
  </si>
  <si>
    <t>ISR2017051701107A</t>
    <phoneticPr fontId="1" type="noConversion"/>
  </si>
  <si>
    <t>ISR000000295795</t>
    <phoneticPr fontId="1" type="noConversion"/>
  </si>
  <si>
    <r>
      <rPr>
        <sz val="10"/>
        <rFont val="宋体"/>
        <charset val="134"/>
      </rPr>
      <t>需求背景：为提升</t>
    </r>
    <r>
      <rPr>
        <sz val="10"/>
        <rFont val="Arial"/>
        <family val="2"/>
      </rPr>
      <t>ABO</t>
    </r>
    <r>
      <rPr>
        <sz val="10"/>
        <rFont val="宋体"/>
        <charset val="134"/>
      </rPr>
      <t>在海外购系统的体验，提升顾客满意度，避免大量的订单冲销和退款的操作；涉及的系统：</t>
    </r>
    <r>
      <rPr>
        <sz val="10"/>
        <rFont val="Arial"/>
        <family val="2"/>
      </rPr>
      <t>5GPOS</t>
    </r>
    <r>
      <rPr>
        <sz val="10"/>
        <rFont val="宋体"/>
        <charset val="134"/>
      </rPr>
      <t>，</t>
    </r>
    <r>
      <rPr>
        <sz val="10"/>
        <rFont val="Arial"/>
        <family val="2"/>
      </rPr>
      <t>AS400</t>
    </r>
    <r>
      <rPr>
        <sz val="10"/>
        <rFont val="宋体"/>
        <charset val="134"/>
      </rPr>
      <t>、</t>
    </r>
    <r>
      <rPr>
        <sz val="10"/>
        <rFont val="Arial"/>
        <family val="2"/>
      </rPr>
      <t>Atlas</t>
    </r>
    <r>
      <rPr>
        <sz val="10"/>
        <rFont val="宋体"/>
        <charset val="134"/>
      </rPr>
      <t>、</t>
    </r>
    <r>
      <rPr>
        <sz val="10"/>
        <rFont val="Arial"/>
        <family val="2"/>
      </rPr>
      <t>Cross Border Hybris</t>
    </r>
    <r>
      <rPr>
        <sz val="10"/>
        <rFont val="宋体"/>
        <charset val="134"/>
      </rPr>
      <t>；需求描述：新增海外购退货券</t>
    </r>
    <r>
      <rPr>
        <sz val="10"/>
        <rFont val="Arial"/>
        <family val="2"/>
      </rPr>
      <t>+</t>
    </r>
    <r>
      <rPr>
        <sz val="10"/>
        <rFont val="宋体"/>
        <charset val="134"/>
      </rPr>
      <t>杂项券功能；期望的上线时间：</t>
    </r>
    <r>
      <rPr>
        <sz val="10"/>
        <rFont val="Arial"/>
        <family val="2"/>
      </rPr>
      <t>2017-06-30</t>
    </r>
    <r>
      <rPr>
        <sz val="10"/>
        <rFont val="宋体"/>
        <charset val="134"/>
      </rPr>
      <t>；延迟上线的后果：新流程上线后，大量海外购订单冲销和退款的操作；费用：</t>
    </r>
    <r>
      <rPr>
        <sz val="10"/>
        <rFont val="Arial"/>
        <family val="2"/>
      </rPr>
      <t>160000</t>
    </r>
    <r>
      <rPr>
        <sz val="10"/>
        <rFont val="宋体"/>
        <charset val="134"/>
      </rPr>
      <t>；费用所属部门：本部门；</t>
    </r>
    <r>
      <rPr>
        <sz val="10"/>
        <rFont val="Arial"/>
        <family val="2"/>
      </rPr>
      <t>1</t>
    </r>
    <r>
      <rPr>
        <sz val="10"/>
        <rFont val="宋体"/>
        <charset val="134"/>
      </rPr>
      <t>、新增海外购退货券</t>
    </r>
    <r>
      <rPr>
        <sz val="10"/>
        <rFont val="Arial"/>
        <family val="2"/>
      </rPr>
      <t>+</t>
    </r>
    <r>
      <rPr>
        <sz val="10"/>
        <rFont val="宋体"/>
        <charset val="134"/>
      </rPr>
      <t>杂项券功能</t>
    </r>
    <r>
      <rPr>
        <sz val="10"/>
        <rFont val="Arial"/>
        <family val="2"/>
      </rPr>
      <t>(</t>
    </r>
    <r>
      <rPr>
        <sz val="10"/>
        <rFont val="宋体"/>
        <charset val="134"/>
      </rPr>
      <t>详细需求需</t>
    </r>
    <r>
      <rPr>
        <sz val="10"/>
        <rFont val="Arial"/>
        <family val="2"/>
      </rPr>
      <t>IT</t>
    </r>
    <r>
      <rPr>
        <sz val="10"/>
        <rFont val="宋体"/>
        <charset val="134"/>
      </rPr>
      <t>评估）</t>
    </r>
    <phoneticPr fontId="1" type="noConversion"/>
  </si>
  <si>
    <t>安利海外购v1.17.0</t>
  </si>
  <si>
    <t>已开发，仅包含联调</t>
    <phoneticPr fontId="1" type="noConversion"/>
  </si>
  <si>
    <t>York Yang</t>
    <phoneticPr fontId="1" type="noConversion"/>
  </si>
  <si>
    <r>
      <rPr>
        <sz val="10"/>
        <rFont val="宋体"/>
        <charset val="134"/>
      </rPr>
      <t>海外购超</t>
    </r>
    <r>
      <rPr>
        <sz val="10"/>
        <rFont val="Arial"/>
        <family val="2"/>
      </rPr>
      <t>2</t>
    </r>
    <r>
      <rPr>
        <sz val="10"/>
        <rFont val="宋体"/>
        <charset val="134"/>
      </rPr>
      <t>万额度退单的订单越来越多，为提升</t>
    </r>
    <r>
      <rPr>
        <sz val="10"/>
        <rFont val="Arial"/>
        <family val="2"/>
      </rPr>
      <t>ABO</t>
    </r>
    <r>
      <rPr>
        <sz val="10"/>
        <rFont val="宋体"/>
        <charset val="134"/>
      </rPr>
      <t>在海外购系统的体验，提升顾客满意度，避免大量的订单冲销和退款的操作，申请新增海外购退货券</t>
    </r>
    <r>
      <rPr>
        <sz val="10"/>
        <rFont val="Arial"/>
        <family val="2"/>
      </rPr>
      <t>+</t>
    </r>
    <r>
      <rPr>
        <sz val="10"/>
        <rFont val="宋体"/>
        <charset val="134"/>
      </rPr>
      <t>杂项券功能。</t>
    </r>
    <phoneticPr fontId="1" type="noConversion"/>
  </si>
  <si>
    <t>ISR2017060200154</t>
    <phoneticPr fontId="1" type="noConversion"/>
  </si>
  <si>
    <t>海外购增加跳转ACCL Hybris</t>
    <phoneticPr fontId="1" type="noConversion"/>
  </si>
  <si>
    <t>已排期</t>
  </si>
  <si>
    <t>ISR2017060200154</t>
  </si>
  <si>
    <t>海外购增加跳转ACCL Hybris</t>
  </si>
  <si>
    <t>Ivy</t>
  </si>
  <si>
    <t>DEST</t>
  </si>
  <si>
    <t>安利海外购系统 6月份版本冻结公告</t>
    <phoneticPr fontId="1" type="noConversion"/>
  </si>
  <si>
    <t>5G POS</t>
  </si>
  <si>
    <t>V3.6.0</t>
  </si>
  <si>
    <t>Eagle Wang</t>
  </si>
  <si>
    <t>安利易联网</t>
    <phoneticPr fontId="51" type="noConversion"/>
  </si>
  <si>
    <t>V3.75.0</t>
    <phoneticPr fontId="51" type="noConversion"/>
  </si>
  <si>
    <t>Kerust Feng</t>
    <phoneticPr fontId="51" type="noConversion"/>
  </si>
  <si>
    <t>ISR编号</t>
  </si>
  <si>
    <t>受影响的关联系统</t>
  </si>
  <si>
    <t>申请人
所属部门</t>
    <phoneticPr fontId="51" type="noConversion"/>
  </si>
  <si>
    <t>由于海外购部分产品经常出现供不应求的情况，为提升顾客的购货体验，申请在海外购官网增加显示缺货功能。</t>
    <phoneticPr fontId="51" type="noConversion"/>
  </si>
  <si>
    <r>
      <t>各位同事，本版本将于6月22日上线，并于6月23日正式生效。请各ISR和问题单的提交人提早预留时间，在6月19日到6月21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</si>
  <si>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安利海外购v1.18.0</t>
  </si>
  <si>
    <t>安利海外购系统 8月份版本冻结公告</t>
    <phoneticPr fontId="1" type="noConversion"/>
  </si>
  <si>
    <r>
      <t>各位同事，本版本将于8月10日上线，并于8月11日正式生效。请各ISR和问题单的提交人提早预留时间，在8月7日到8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</si>
  <si>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REQ0041002</t>
  </si>
  <si>
    <t>REQ0041002</t>
    <phoneticPr fontId="1" type="noConversion"/>
  </si>
  <si>
    <r>
      <rPr>
        <sz val="10"/>
        <color indexed="12"/>
        <rFont val="宋体"/>
        <charset val="134"/>
      </rPr>
      <t>安利海外购</t>
    </r>
    <r>
      <rPr>
        <sz val="10"/>
        <color indexed="12"/>
        <rFont val="Arial"/>
        <family val="2"/>
      </rPr>
      <t>v1.19.0</t>
    </r>
    <phoneticPr fontId="1" type="noConversion"/>
  </si>
  <si>
    <r>
      <rPr>
        <sz val="10"/>
        <color indexed="12"/>
        <rFont val="宋体"/>
        <charset val="134"/>
      </rPr>
      <t>安利海外购</t>
    </r>
    <r>
      <rPr>
        <sz val="10"/>
        <color indexed="12"/>
        <rFont val="Arial"/>
        <family val="2"/>
      </rPr>
      <t>v1.20.0</t>
    </r>
    <phoneticPr fontId="1" type="noConversion"/>
  </si>
  <si>
    <r>
      <rPr>
        <sz val="10"/>
        <color indexed="12"/>
        <rFont val="宋体"/>
        <charset val="134"/>
      </rPr>
      <t>安利海外购</t>
    </r>
    <r>
      <rPr>
        <sz val="10"/>
        <color indexed="12"/>
        <rFont val="Arial"/>
        <family val="2"/>
      </rPr>
      <t>v1.21.0</t>
    </r>
    <phoneticPr fontId="1" type="noConversion"/>
  </si>
  <si>
    <r>
      <rPr>
        <sz val="10"/>
        <rFont val="宋体"/>
        <charset val="134"/>
      </rPr>
      <t>海外购网站所有页面均需要修改分享链接（包含：首页，</t>
    </r>
    <r>
      <rPr>
        <sz val="10"/>
        <rFont val="Arial"/>
        <family val="2"/>
      </rPr>
      <t>PLP</t>
    </r>
    <r>
      <rPr>
        <sz val="10"/>
        <rFont val="宋体"/>
        <charset val="134"/>
      </rPr>
      <t>，</t>
    </r>
    <r>
      <rPr>
        <sz val="10"/>
        <rFont val="Arial"/>
        <family val="2"/>
      </rPr>
      <t>PDP</t>
    </r>
    <r>
      <rPr>
        <sz val="10"/>
        <rFont val="宋体"/>
        <charset val="134"/>
      </rPr>
      <t>，订单管理，个人中心，帮助中心），其中除</t>
    </r>
    <r>
      <rPr>
        <sz val="10"/>
        <rFont val="Arial"/>
        <family val="2"/>
      </rPr>
      <t>PDP</t>
    </r>
    <r>
      <rPr>
        <sz val="10"/>
        <rFont val="宋体"/>
        <charset val="134"/>
      </rPr>
      <t>页面显示产品名称、功能描述和产品图片，其他页面显示的名称，文字描述和图片保持一致不做区分，分享文字和图片需设置为可配置修改形式。</t>
    </r>
    <phoneticPr fontId="1" type="noConversion"/>
  </si>
  <si>
    <t>安利海外购v1.19.0</t>
  </si>
  <si>
    <t>海外购网站所有页面均需要修改分享链接（包含：首页，PLP，PDP，订单管理，个人中心，帮助中心），其中除PDP页面显示产品名称、功能描述和产品图片，其他页面显示的名称，文字描述和图片保持一致不做区分，分享文字和图片需设置为可配置修改形式。</t>
  </si>
  <si>
    <r>
      <t>各位同事，本版本将于11月13日上线，并于11月14日正式生效。请各ISR和问题单的提交人提早预留时间，在11月8日到11月10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</si>
  <si>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11月份版本冻结公告</t>
    <phoneticPr fontId="1" type="noConversion"/>
  </si>
  <si>
    <t>REQ0067429</t>
  </si>
  <si>
    <t>REQ0067429</t>
    <phoneticPr fontId="1" type="noConversion"/>
  </si>
  <si>
    <r>
      <rPr>
        <sz val="10"/>
        <color indexed="12"/>
        <rFont val="宋体"/>
        <charset val="134"/>
      </rPr>
      <t>安利海外购</t>
    </r>
    <r>
      <rPr>
        <sz val="10"/>
        <color indexed="12"/>
        <rFont val="Arial"/>
        <family val="2"/>
      </rPr>
      <t>v1.22.0</t>
    </r>
    <phoneticPr fontId="1" type="noConversion"/>
  </si>
  <si>
    <t>安利海外购v1.22.0</t>
  </si>
  <si>
    <t>Alex Wang</t>
    <phoneticPr fontId="1" type="noConversion"/>
  </si>
  <si>
    <r>
      <t>1.</t>
    </r>
    <r>
      <rPr>
        <sz val="10"/>
        <rFont val="宋体"/>
        <charset val="134"/>
      </rPr>
      <t>产品推荐的需求可配置所以产品包括</t>
    </r>
    <r>
      <rPr>
        <sz val="10"/>
        <rFont val="Arial"/>
        <family val="2"/>
      </rPr>
      <t>ACCL</t>
    </r>
    <r>
      <rPr>
        <sz val="10"/>
        <rFont val="宋体"/>
        <charset val="134"/>
      </rPr>
      <t xml:space="preserve">产品和海外购产品；
</t>
    </r>
    <r>
      <rPr>
        <sz val="10"/>
        <rFont val="Arial"/>
        <family val="2"/>
      </rPr>
      <t>2.</t>
    </r>
    <r>
      <rPr>
        <sz val="10"/>
        <rFont val="宋体"/>
        <charset val="134"/>
      </rPr>
      <t>云服务进入海外购订单的结算页面默认</t>
    </r>
    <r>
      <rPr>
        <sz val="10"/>
        <rFont val="Arial"/>
        <family val="2"/>
      </rPr>
      <t>“</t>
    </r>
    <r>
      <rPr>
        <sz val="10"/>
        <rFont val="宋体"/>
        <charset val="134"/>
      </rPr>
      <t>银联在线支付</t>
    </r>
    <r>
      <rPr>
        <sz val="10"/>
        <rFont val="Arial"/>
        <family val="2"/>
      </rPr>
      <t>”</t>
    </r>
    <r>
      <rPr>
        <sz val="10"/>
        <rFont val="宋体"/>
        <charset val="134"/>
      </rPr>
      <t>；</t>
    </r>
    <r>
      <rPr>
        <sz val="10"/>
        <rFont val="Arial"/>
        <family val="2"/>
      </rPr>
      <t xml:space="preserve"> 
</t>
    </r>
    <phoneticPr fontId="1" type="noConversion"/>
  </si>
  <si>
    <t xml:space="preserve">1.产品推荐的需求可配置所以产品包括ACCL产品和海外购产品；
2.云服务进入海外购订单的结算页面默认“银联在线支付”； 
</t>
  </si>
  <si>
    <t>本次版本中ISR对应提交人，ISR对应提交人上司（总监级），问题单提交人，该产品线的全部用户代表，产品线成员，SQA，测试设计人员，测试管理员，应用系统管理员，AST Leader（Leo Li），Servicedesk邮箱，ITSC（Janice Huang），安全组Leader( Holly He )、服务器组Leader( James Zhan )、网络组Leader( Keen Kong )、DC Leader（Henry Wang），部署组（Kelvin Pan），关联/辅改系统负责人，开发团队Leaders（Michel Chen，Ray Kwong），基础设施总监（Paul Lam），SQA Leader（Holly He）</t>
    <phoneticPr fontId="1" type="noConversion"/>
  </si>
  <si>
    <t>安利海外购系统 3月份版本冻结公告</t>
    <phoneticPr fontId="1" type="noConversion"/>
  </si>
  <si>
    <r>
      <t>各位同事，本版本将于3月15日上线，并于3月15日正式生效。请各ISR和问题单的提交人提早预留时间，在3月13日到3月14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</si>
  <si>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REQ0087488</t>
    <phoneticPr fontId="1" type="noConversion"/>
  </si>
  <si>
    <t>Anthony</t>
    <phoneticPr fontId="1" type="noConversion"/>
  </si>
  <si>
    <t>海外购性能优化，登陆接口及消息中心优化</t>
    <phoneticPr fontId="1" type="noConversion"/>
  </si>
  <si>
    <t>海外购Tomcat补丁</t>
    <phoneticPr fontId="1" type="noConversion"/>
  </si>
  <si>
    <t>海外购支付宝支付实名认证</t>
    <phoneticPr fontId="1" type="noConversion"/>
  </si>
  <si>
    <r>
      <t>Leo</t>
    </r>
    <r>
      <rPr>
        <sz val="10"/>
        <rFont val="宋体"/>
        <charset val="134"/>
      </rPr>
      <t xml:space="preserve"> Li</t>
    </r>
    <phoneticPr fontId="1" type="noConversion"/>
  </si>
  <si>
    <t>ISD</t>
    <phoneticPr fontId="1" type="noConversion"/>
  </si>
  <si>
    <t>Erica</t>
    <phoneticPr fontId="1" type="noConversion"/>
  </si>
  <si>
    <t>海外购配额问题优化</t>
    <phoneticPr fontId="1" type="noConversion"/>
  </si>
  <si>
    <t>Konwood</t>
    <phoneticPr fontId="1" type="noConversion"/>
  </si>
  <si>
    <t>跨境电商税率调整</t>
    <phoneticPr fontId="1" type="noConversion"/>
  </si>
  <si>
    <r>
      <rPr>
        <sz val="10"/>
        <color indexed="12"/>
        <rFont val="宋体"/>
        <charset val="134"/>
      </rPr>
      <t>安利海外购</t>
    </r>
    <r>
      <rPr>
        <sz val="10"/>
        <color indexed="12"/>
        <rFont val="Arial"/>
        <family val="2"/>
      </rPr>
      <t>v1.23.0</t>
    </r>
    <phoneticPr fontId="1" type="noConversion"/>
  </si>
  <si>
    <t>安利海外购v1.23.0</t>
  </si>
  <si>
    <t>REQ0087488</t>
  </si>
  <si>
    <t>海外购性能优化，登陆接口及消息中心优化</t>
  </si>
  <si>
    <t>Anthony</t>
  </si>
  <si>
    <t>海外购配额问题优化</t>
  </si>
  <si>
    <t>Konwood</t>
  </si>
  <si>
    <t>ISD</t>
  </si>
  <si>
    <t>海外购Tomcat补丁</t>
  </si>
  <si>
    <t>Erica</t>
  </si>
  <si>
    <t>海外购支付宝支付实名认证</t>
  </si>
  <si>
    <t>Leo Li</t>
  </si>
  <si>
    <t>跨境电商税率调整</t>
  </si>
  <si>
    <t>Pending</t>
  </si>
  <si>
    <t>Pending</t>
    <phoneticPr fontId="1" type="noConversion"/>
  </si>
  <si>
    <r>
      <t>各位同事，本版本将于4月25日上线，并于4月26日正式生效。请各ISR和问题单的提交人提早预留时间，在4月20日到4月24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</si>
  <si>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安利海外购系统 4月份版本冻结公告</t>
    <phoneticPr fontId="1" type="noConversion"/>
  </si>
  <si>
    <r>
      <rPr>
        <sz val="10"/>
        <color indexed="12"/>
        <rFont val="宋体"/>
        <charset val="134"/>
      </rPr>
      <t>安利海外购</t>
    </r>
    <r>
      <rPr>
        <sz val="10"/>
        <color indexed="12"/>
        <rFont val="Arial"/>
        <family val="2"/>
      </rPr>
      <t>v1.24.0</t>
    </r>
    <phoneticPr fontId="1" type="noConversion"/>
  </si>
  <si>
    <t>安利海外购v1.24.0</t>
  </si>
  <si>
    <t>York</t>
    <phoneticPr fontId="1" type="noConversion"/>
  </si>
  <si>
    <t>无法正确输入姓名问题</t>
    <phoneticPr fontId="1" type="noConversion"/>
  </si>
  <si>
    <t>微信，AA工作室跳转海外购问题</t>
    <phoneticPr fontId="1" type="noConversion"/>
  </si>
  <si>
    <t>pending</t>
    <phoneticPr fontId="1" type="noConversion"/>
  </si>
  <si>
    <t>AHK Amanet系统 6月份版本冻结公告</t>
    <phoneticPr fontId="1" type="noConversion"/>
  </si>
  <si>
    <r>
      <t>各位同事，本版本将于6月19日上线，并于6月19日正式生效。请各ISR和问题单的提交人提早预留时间，在6月19日到6月19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</si>
  <si>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AHK AmanetV6.12.1</t>
  </si>
  <si>
    <t>AHK AmanetV6.12.1</t>
    <phoneticPr fontId="1" type="noConversion"/>
  </si>
  <si>
    <t>系统性能优化</t>
  </si>
  <si>
    <t>系统性能优化</t>
    <phoneticPr fontId="1" type="noConversion"/>
  </si>
  <si>
    <r>
      <t>Frankie</t>
    </r>
    <r>
      <rPr>
        <sz val="10"/>
        <rFont val="宋体"/>
        <charset val="134"/>
      </rPr>
      <t xml:space="preserve"> Guan</t>
    </r>
    <phoneticPr fontId="1" type="noConversion"/>
  </si>
  <si>
    <t>AHK AmanetV6.13.0</t>
  </si>
  <si>
    <t>AHK AmanetV6.13.0</t>
    <phoneticPr fontId="1" type="noConversion"/>
  </si>
  <si>
    <r>
      <t>各位同事，本版本将于7月10日上线，并于7月10日正式生效。请各ISR和问题单的提交人提早预留时间，在7月9日到7月9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</si>
  <si>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r>
      <t>S</t>
    </r>
    <r>
      <rPr>
        <sz val="10"/>
        <rFont val="宋体"/>
        <charset val="134"/>
      </rPr>
      <t>anny Li</t>
    </r>
    <phoneticPr fontId="1" type="noConversion"/>
  </si>
  <si>
    <r>
      <t>S</t>
    </r>
    <r>
      <rPr>
        <sz val="10"/>
        <rFont val="宋体"/>
        <charset val="134"/>
      </rPr>
      <t>ALES</t>
    </r>
    <phoneticPr fontId="1" type="noConversion"/>
  </si>
  <si>
    <t>AHK Star program for health KPI inquiry function</t>
  </si>
  <si>
    <t>AHK Star program for health KPI inquiry function</t>
    <phoneticPr fontId="1" type="noConversion"/>
  </si>
  <si>
    <t>REQ0102163</t>
  </si>
  <si>
    <t>REQ0102163</t>
    <phoneticPr fontId="1" type="noConversion"/>
  </si>
  <si>
    <t>Sanny Li</t>
  </si>
  <si>
    <t>SALES</t>
  </si>
  <si>
    <t>AS400</t>
    <phoneticPr fontId="70" type="noConversion"/>
  </si>
  <si>
    <t>Andy Lin</t>
    <phoneticPr fontId="70" type="noConversion"/>
  </si>
  <si>
    <t>新銀章摘星培訓資格及版面更新</t>
    <phoneticPr fontId="1" type="noConversion"/>
  </si>
  <si>
    <t>REQ0149577</t>
    <phoneticPr fontId="1" type="noConversion"/>
  </si>
  <si>
    <r>
      <t>V</t>
    </r>
    <r>
      <rPr>
        <sz val="10"/>
        <rFont val="宋体"/>
        <family val="3"/>
        <charset val="134"/>
      </rPr>
      <t>icky Chiu</t>
    </r>
    <phoneticPr fontId="1" type="noConversion"/>
  </si>
  <si>
    <t>AHK AmanetV6.14.0</t>
    <phoneticPr fontId="1" type="noConversion"/>
  </si>
  <si>
    <t>AHK AmanetV6.15.0</t>
  </si>
  <si>
    <t>AHK AmanetV6.15.0</t>
    <phoneticPr fontId="1" type="noConversion"/>
  </si>
  <si>
    <t>REQ0135517</t>
  </si>
  <si>
    <t>REQ0135517</t>
    <phoneticPr fontId="1" type="noConversion"/>
  </si>
  <si>
    <t>是否允許上線續約及購貨</t>
  </si>
  <si>
    <t>是否允許上線續約及購貨</t>
    <phoneticPr fontId="1" type="noConversion"/>
  </si>
  <si>
    <r>
      <t>S</t>
    </r>
    <r>
      <rPr>
        <sz val="10"/>
        <rFont val="宋体"/>
        <family val="3"/>
        <charset val="134"/>
      </rPr>
      <t>annie Li</t>
    </r>
    <phoneticPr fontId="1" type="noConversion"/>
  </si>
  <si>
    <r>
      <t>F</t>
    </r>
    <r>
      <rPr>
        <sz val="10"/>
        <rFont val="宋体"/>
        <family val="3"/>
        <charset val="134"/>
      </rPr>
      <t>rankie Guan</t>
    </r>
    <phoneticPr fontId="1" type="noConversion"/>
  </si>
  <si>
    <t>AHK AmanetV6.16.0</t>
  </si>
  <si>
    <t>AHK AmanetV6.16.0</t>
    <phoneticPr fontId="1" type="noConversion"/>
  </si>
  <si>
    <t>AHK AmanetV6.17.0</t>
    <phoneticPr fontId="1" type="noConversion"/>
  </si>
  <si>
    <t>Frankie Guan</t>
    <phoneticPr fontId="1" type="noConversion"/>
  </si>
  <si>
    <t>AHK Amanet系统 10月份版本冻结公告</t>
    <phoneticPr fontId="1" type="noConversion"/>
  </si>
  <si>
    <r>
      <t>各位同事，本版本将于10月23日上线，并于10月23日正式生效。请各ISR和问题单的提交人提早预留时间，在10月19日到10月22日期间对系统进行验收。对于没有及时验收的ISR和问题单，电脑部将不予以上线并对其重新进行排期开发。
在收到本公告到版本上线期间，如果ISR的内容需要进行任何变更（包括修改需求，推迟上线时间，提前实施，取消ISR的处理等），请ISR提出人与系统对应的业务分析员进行沟通，确认变更可行后，</t>
    </r>
    <r>
      <rPr>
        <sz val="9"/>
        <color indexed="10"/>
        <rFont val="微软雅黑"/>
        <family val="2"/>
        <charset val="134"/>
      </rPr>
      <t>ISR提出人通过邮件提交用户部门总监和电脑部总监进行审批。</t>
    </r>
    <r>
      <rPr>
        <sz val="9"/>
        <rFont val="微软雅黑"/>
        <family val="2"/>
        <charset val="134"/>
      </rPr>
      <t xml:space="preserve">
挂起原因为“用户需求尚未确认”的ISR，若状态发生变化，请用户主动联系业务分析员。
业务分析员联系方式：</t>
    </r>
    <r>
      <rPr>
        <sz val="9"/>
        <color indexed="10"/>
        <rFont val="微软雅黑"/>
        <family val="2"/>
        <charset val="134"/>
      </rPr>
      <t>Kerust Feng</t>
    </r>
    <r>
      <rPr>
        <sz val="9"/>
        <color indexed="10"/>
        <rFont val="微软雅黑"/>
        <family val="2"/>
        <charset val="134"/>
      </rPr>
      <t>，</t>
    </r>
    <r>
      <rPr>
        <sz val="9"/>
        <color indexed="10"/>
        <rFont val="微软雅黑"/>
        <family val="2"/>
        <charset val="134"/>
      </rPr>
      <t>85198350</t>
    </r>
    <r>
      <rPr>
        <sz val="9"/>
        <rFont val="微软雅黑"/>
        <family val="2"/>
        <charset val="134"/>
      </rPr>
      <t xml:space="preserve">
感谢大家对电脑部工作的配合。</t>
    </r>
    <phoneticPr fontId="1" type="noConversion"/>
  </si>
  <si>
    <t>Sannie Li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</si>
</sst>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89" formatCode="0.00_);[Red]\(0.00\)"/>
  </numFmts>
  <fonts count="82" x14ac:knownFonts="1">
    <font>
      <sz val="10"/>
      <name val="Arial"/>
      <family val="2"/>
    </font>
    <font>
      <sz val="9"/>
      <name val="宋体"/>
      <charset val="134"/>
    </font>
    <font>
      <sz val="10"/>
      <name val="宋体"/>
      <charset val="134"/>
    </font>
    <font>
      <sz val="12"/>
      <name val="宋体"/>
      <charset val="134"/>
    </font>
    <font>
      <b/>
      <sz val="10"/>
      <name val="宋体"/>
      <charset val="134"/>
    </font>
    <font>
      <b/>
      <sz val="12"/>
      <name val="宋体"/>
      <charset val="134"/>
    </font>
    <font>
      <sz val="10"/>
      <color indexed="12"/>
      <name val="宋体"/>
      <charset val="134"/>
    </font>
    <font>
      <sz val="9"/>
      <color indexed="81"/>
      <name val="宋体"/>
      <charset val="134"/>
    </font>
    <font>
      <b/>
      <sz val="9"/>
      <color indexed="81"/>
      <name val="宋体"/>
      <charset val="134"/>
    </font>
    <font>
      <sz val="10"/>
      <color indexed="12"/>
      <name val="Arial"/>
      <family val="2"/>
    </font>
    <font>
      <sz val="10"/>
      <name val="Arial"/>
      <family val="2"/>
    </font>
    <font>
      <b/>
      <sz val="16"/>
      <name val="宋体"/>
      <charset val="134"/>
    </font>
    <font>
      <b/>
      <sz val="10"/>
      <color indexed="12"/>
      <name val="宋体"/>
      <charset val="134"/>
    </font>
    <font>
      <b/>
      <sz val="10"/>
      <color indexed="10"/>
      <name val="宋体"/>
      <charset val="134"/>
    </font>
    <font>
      <b/>
      <sz val="10"/>
      <name val="Arial"/>
      <family val="2"/>
    </font>
    <font>
      <b/>
      <sz val="10"/>
      <color indexed="12"/>
      <name val="Arial"/>
      <family val="2"/>
    </font>
    <font>
      <b/>
      <sz val="10"/>
      <color indexed="48"/>
      <name val="宋体"/>
      <charset val="134"/>
    </font>
    <font>
      <b/>
      <sz val="10"/>
      <color indexed="30"/>
      <name val="宋体"/>
      <charset val="134"/>
    </font>
    <font>
      <b/>
      <sz val="10"/>
      <name val="宋体"/>
      <charset val="134"/>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color indexed="20"/>
      <name val="宋体"/>
      <charset val="134"/>
    </font>
    <font>
      <sz val="11"/>
      <color indexed="17"/>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b/>
      <sz val="10"/>
      <name val="宋体"/>
      <charset val="134"/>
    </font>
    <font>
      <b/>
      <sz val="10"/>
      <name val="宋体"/>
      <charset val="134"/>
    </font>
    <font>
      <sz val="9"/>
      <name val="宋体"/>
      <charset val="134"/>
    </font>
    <font>
      <sz val="10"/>
      <name val="宋体"/>
      <charset val="134"/>
    </font>
    <font>
      <b/>
      <sz val="10"/>
      <color indexed="12"/>
      <name val="宋体"/>
      <charset val="134"/>
    </font>
    <font>
      <sz val="10"/>
      <name val="宋体"/>
      <charset val="134"/>
    </font>
    <font>
      <b/>
      <sz val="10"/>
      <name val="宋体"/>
      <charset val="134"/>
    </font>
    <font>
      <sz val="10"/>
      <color indexed="10"/>
      <name val="宋体"/>
      <charset val="134"/>
    </font>
    <font>
      <b/>
      <sz val="9"/>
      <name val="微软雅黑"/>
      <family val="2"/>
      <charset val="134"/>
    </font>
    <font>
      <sz val="9"/>
      <name val="微软雅黑"/>
      <family val="2"/>
      <charset val="134"/>
    </font>
    <font>
      <sz val="9"/>
      <name val="Arial"/>
      <family val="2"/>
    </font>
    <font>
      <sz val="9"/>
      <color indexed="10"/>
      <name val="微软雅黑"/>
      <family val="2"/>
      <charset val="134"/>
    </font>
    <font>
      <sz val="9"/>
      <color indexed="10"/>
      <name val="微软雅黑"/>
      <family val="2"/>
      <charset val="134"/>
    </font>
    <font>
      <sz val="10"/>
      <name val="Arial"/>
      <family val="2"/>
    </font>
    <font>
      <sz val="10"/>
      <color indexed="12"/>
      <name val="Arial"/>
      <family val="2"/>
    </font>
    <font>
      <sz val="10"/>
      <name val="宋体"/>
      <charset val="134"/>
    </font>
    <font>
      <sz val="10"/>
      <name val="Arial"/>
      <family val="2"/>
    </font>
    <font>
      <sz val="9"/>
      <name val="宋体"/>
      <charset val="134"/>
    </font>
    <font>
      <sz val="10"/>
      <name val="Arial"/>
      <family val="2"/>
    </font>
    <font>
      <sz val="10"/>
      <name val="宋体"/>
      <charset val="134"/>
    </font>
    <font>
      <sz val="9"/>
      <name val="宋体"/>
      <charset val="134"/>
    </font>
    <font>
      <sz val="9"/>
      <name val="宋体"/>
      <charset val="134"/>
    </font>
    <font>
      <sz val="10"/>
      <color indexed="12"/>
      <name val="Arial"/>
      <family val="2"/>
    </font>
    <font>
      <sz val="10"/>
      <name val="宋体"/>
      <charset val="134"/>
    </font>
    <font>
      <sz val="10"/>
      <name val="Arial"/>
      <family val="2"/>
    </font>
    <font>
      <sz val="9"/>
      <name val="宋体"/>
      <charset val="134"/>
    </font>
    <font>
      <sz val="10"/>
      <color indexed="12"/>
      <name val="Arial"/>
      <family val="2"/>
    </font>
    <font>
      <sz val="10"/>
      <name val="宋体"/>
      <charset val="134"/>
    </font>
    <font>
      <sz val="10"/>
      <name val="宋体"/>
      <charset val="134"/>
    </font>
    <font>
      <sz val="10"/>
      <color indexed="12"/>
      <name val="Arial"/>
      <family val="2"/>
    </font>
    <font>
      <sz val="9"/>
      <name val="宋体"/>
      <charset val="134"/>
    </font>
    <font>
      <sz val="10"/>
      <color indexed="12"/>
      <name val="Arial"/>
      <family val="2"/>
    </font>
    <font>
      <sz val="10"/>
      <name val="宋体"/>
      <charset val="134"/>
    </font>
    <font>
      <sz val="9"/>
      <name val="宋体"/>
      <charset val="134"/>
    </font>
    <font>
      <sz val="10.5"/>
      <name val="等线"/>
      <charset val="134"/>
    </font>
    <font>
      <sz val="10"/>
      <name val="宋体"/>
      <charset val="134"/>
    </font>
    <font>
      <sz val="9"/>
      <name val="宋体"/>
      <charset val="134"/>
    </font>
    <font>
      <sz val="10"/>
      <name val="宋体"/>
      <charset val="134"/>
    </font>
    <font>
      <sz val="10"/>
      <name val="Calibri"/>
      <family val="2"/>
    </font>
    <font>
      <sz val="10"/>
      <color rgb="FF0070C0"/>
      <name val="Arial"/>
      <family val="2"/>
    </font>
    <font>
      <b/>
      <sz val="9"/>
      <color theme="0"/>
      <name val="微软雅黑"/>
      <family val="2"/>
      <charset val="134"/>
    </font>
    <font>
      <b/>
      <sz val="9"/>
      <color rgb="FFC00000"/>
      <name val="微软雅黑"/>
      <family val="2"/>
      <charset val="134"/>
    </font>
    <font>
      <b/>
      <i/>
      <sz val="9"/>
      <color theme="1" tint="0.249977111117893"/>
      <name val="微软雅黑"/>
      <family val="2"/>
      <charset val="134"/>
    </font>
    <font>
      <i/>
      <sz val="9"/>
      <color theme="1" tint="0.249977111117893"/>
      <name val="微软雅黑"/>
      <family val="2"/>
      <charset val="134"/>
    </font>
    <font>
      <b/>
      <sz val="12"/>
      <color rgb="FF005426"/>
      <name val="微软雅黑"/>
      <family val="2"/>
      <charset val="134"/>
    </font>
    <font>
      <sz val="10"/>
      <color rgb="FF0070C0"/>
      <name val="宋体"/>
      <charset val="134"/>
    </font>
    <font>
      <sz val="10"/>
      <name val="宋体"/>
      <family val="3"/>
      <charset val="134"/>
    </font>
    <font>
      <sz val="9"/>
      <name val="宋体"/>
      <family val="3"/>
      <charset val="134"/>
    </font>
  </fonts>
  <fills count="18">
    <fill>
      <patternFill patternType="none"/>
    </fill>
    <fill>
      <patternFill patternType="gray125"/>
    </fill>
    <fill>
      <patternFill patternType="solid">
        <fgColor indexed="45"/>
      </patternFill>
    </fill>
    <fill>
      <patternFill patternType="solid">
        <fgColor indexed="42"/>
      </patternFill>
    </fill>
    <fill>
      <patternFill patternType="solid">
        <fgColor indexed="47"/>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theme="3" tint="0.59999389629810485"/>
        <bgColor indexed="64"/>
      </patternFill>
    </fill>
    <fill>
      <patternFill patternType="solid">
        <fgColor theme="0"/>
        <bgColor indexed="64"/>
      </patternFill>
    </fill>
    <fill>
      <patternFill patternType="solid">
        <fgColor rgb="FF00B050"/>
        <bgColor indexed="64"/>
      </patternFill>
    </fill>
    <fill>
      <patternFill patternType="solid">
        <fgColor rgb="FFC00000"/>
        <bgColor indexed="64"/>
      </patternFill>
    </fill>
    <fill>
      <patternFill patternType="solid">
        <fgColor theme="9" tint="0.59999389629810485"/>
        <bgColor indexed="64"/>
      </patternFill>
    </fill>
  </fills>
  <borders count="3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bottom/>
      <diagonal/>
    </border>
    <border>
      <left/>
      <right/>
      <top style="thin">
        <color theme="0"/>
      </top>
      <bottom/>
      <diagonal/>
    </border>
    <border>
      <left style="thin">
        <color theme="0"/>
      </left>
      <right style="thin">
        <color theme="0"/>
      </right>
      <top/>
      <bottom/>
      <diagonal/>
    </border>
    <border>
      <left style="thin">
        <color theme="0"/>
      </left>
      <right/>
      <top style="thin">
        <color theme="0"/>
      </top>
      <bottom/>
      <diagonal/>
    </border>
    <border>
      <left style="thin">
        <color indexed="64"/>
      </left>
      <right/>
      <top style="thin">
        <color theme="0"/>
      </top>
      <bottom/>
      <diagonal/>
    </border>
    <border>
      <left style="thin">
        <color theme="0"/>
      </left>
      <right style="thin">
        <color theme="0"/>
      </right>
      <top/>
      <bottom style="thin">
        <color theme="0"/>
      </bottom>
      <diagonal/>
    </border>
    <border>
      <left/>
      <right style="thin">
        <color indexed="64"/>
      </right>
      <top/>
      <bottom style="thin">
        <color theme="0"/>
      </bottom>
      <diagonal/>
    </border>
    <border>
      <left/>
      <right/>
      <top style="thin">
        <color theme="0"/>
      </top>
      <bottom style="thin">
        <color theme="0"/>
      </bottom>
      <diagonal/>
    </border>
  </borders>
  <cellStyleXfs count="19">
    <xf numFmtId="0" fontId="0" fillId="0" borderId="0"/>
    <xf numFmtId="0" fontId="19" fillId="0" borderId="0" applyNumberFormat="0" applyFill="0" applyBorder="0" applyAlignment="0" applyProtection="0">
      <alignment vertical="center"/>
    </xf>
    <xf numFmtId="0" fontId="20" fillId="0" borderId="1" applyNumberFormat="0" applyFill="0" applyAlignment="0" applyProtection="0">
      <alignment vertical="center"/>
    </xf>
    <xf numFmtId="0" fontId="21" fillId="0" borderId="2" applyNumberFormat="0" applyFill="0" applyAlignment="0" applyProtection="0">
      <alignment vertical="center"/>
    </xf>
    <xf numFmtId="0" fontId="22" fillId="0" borderId="3" applyNumberFormat="0" applyFill="0" applyAlignment="0" applyProtection="0">
      <alignment vertical="center"/>
    </xf>
    <xf numFmtId="0" fontId="22" fillId="0" borderId="0" applyNumberFormat="0" applyFill="0" applyBorder="0" applyAlignment="0" applyProtection="0">
      <alignment vertical="center"/>
    </xf>
    <xf numFmtId="0" fontId="23" fillId="2" borderId="0" applyNumberFormat="0" applyBorder="0" applyAlignment="0" applyProtection="0">
      <alignment vertical="center"/>
    </xf>
    <xf numFmtId="0" fontId="3" fillId="0" borderId="0"/>
    <xf numFmtId="0" fontId="24" fillId="3" borderId="0" applyNumberFormat="0" applyBorder="0" applyAlignment="0" applyProtection="0">
      <alignment vertical="center"/>
    </xf>
    <xf numFmtId="0" fontId="25" fillId="0" borderId="4" applyNumberFormat="0" applyFill="0" applyAlignment="0" applyProtection="0">
      <alignment vertical="center"/>
    </xf>
    <xf numFmtId="0" fontId="26" fillId="5" borderId="5" applyNumberFormat="0" applyAlignment="0" applyProtection="0">
      <alignment vertical="center"/>
    </xf>
    <xf numFmtId="0" fontId="27" fillId="6" borderId="6" applyNumberForma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7" applyNumberFormat="0" applyFill="0" applyAlignment="0" applyProtection="0">
      <alignment vertical="center"/>
    </xf>
    <xf numFmtId="0" fontId="31" fillId="7" borderId="0" applyNumberFormat="0" applyBorder="0" applyAlignment="0" applyProtection="0">
      <alignment vertical="center"/>
    </xf>
    <xf numFmtId="0" fontId="32" fillId="5" borderId="8" applyNumberFormat="0" applyAlignment="0" applyProtection="0">
      <alignment vertical="center"/>
    </xf>
    <xf numFmtId="0" fontId="33" fillId="4" borderId="5" applyNumberFormat="0" applyAlignment="0" applyProtection="0">
      <alignment vertical="center"/>
    </xf>
    <xf numFmtId="0" fontId="10" fillId="8" borderId="9" applyNumberFormat="0" applyFont="0" applyAlignment="0" applyProtection="0">
      <alignment vertical="center"/>
    </xf>
  </cellStyleXfs>
  <cellXfs count="195">
    <xf numFmtId="0" fontId="0" fillId="0" borderId="0" xfId="0"/>
    <xf numFmtId="49" fontId="2" fillId="0" borderId="0" xfId="7" applyNumberFormat="1" applyFont="1"/>
    <xf numFmtId="0" fontId="2" fillId="0" borderId="0" xfId="7" applyFont="1"/>
    <xf numFmtId="49" fontId="4" fillId="9" borderId="10" xfId="7" applyNumberFormat="1" applyFont="1" applyFill="1" applyBorder="1" applyAlignment="1">
      <alignment horizontal="center"/>
    </xf>
    <xf numFmtId="0" fontId="4" fillId="9" borderId="10" xfId="7" applyFont="1" applyFill="1" applyBorder="1" applyAlignment="1">
      <alignment horizontal="center"/>
    </xf>
    <xf numFmtId="49" fontId="2" fillId="0" borderId="10" xfId="7" applyNumberFormat="1" applyFont="1" applyBorder="1"/>
    <xf numFmtId="0" fontId="2" fillId="0" borderId="10" xfId="7" applyFont="1" applyBorder="1"/>
    <xf numFmtId="14" fontId="2" fillId="0" borderId="10" xfId="7" applyNumberFormat="1" applyFont="1" applyBorder="1"/>
    <xf numFmtId="0" fontId="6" fillId="0" borderId="0" xfId="0" applyFont="1"/>
    <xf numFmtId="0" fontId="0" fillId="0" borderId="10" xfId="0" applyBorder="1"/>
    <xf numFmtId="0" fontId="0" fillId="0" borderId="0" xfId="0" applyAlignment="1">
      <alignment wrapText="1"/>
    </xf>
    <xf numFmtId="0" fontId="4" fillId="10" borderId="10" xfId="0" applyFont="1" applyFill="1" applyBorder="1" applyAlignment="1">
      <alignment horizontal="center"/>
    </xf>
    <xf numFmtId="14" fontId="9" fillId="0" borderId="10" xfId="0" applyNumberFormat="1" applyFont="1" applyBorder="1"/>
    <xf numFmtId="0" fontId="6" fillId="0" borderId="0" xfId="0" applyFont="1" applyAlignment="1">
      <alignment wrapText="1"/>
    </xf>
    <xf numFmtId="0" fontId="6" fillId="0" borderId="0" xfId="0" applyFont="1" applyAlignment="1"/>
    <xf numFmtId="0" fontId="10" fillId="0" borderId="10" xfId="0" applyFont="1" applyBorder="1"/>
    <xf numFmtId="0" fontId="4" fillId="10" borderId="10" xfId="0" applyFont="1" applyFill="1" applyBorder="1"/>
    <xf numFmtId="0" fontId="4" fillId="10" borderId="10" xfId="0" applyFont="1" applyFill="1" applyBorder="1" applyAlignment="1">
      <alignment horizontal="center" wrapText="1"/>
    </xf>
    <xf numFmtId="0" fontId="4" fillId="0" borderId="0" xfId="0" applyFont="1"/>
    <xf numFmtId="0" fontId="0" fillId="10" borderId="10" xfId="0" applyFill="1" applyBorder="1"/>
    <xf numFmtId="0" fontId="2" fillId="10" borderId="10" xfId="0" applyFont="1" applyFill="1" applyBorder="1"/>
    <xf numFmtId="0" fontId="0" fillId="0" borderId="10" xfId="0" applyFill="1" applyBorder="1"/>
    <xf numFmtId="0" fontId="2" fillId="0" borderId="10" xfId="0" applyFont="1" applyBorder="1"/>
    <xf numFmtId="0" fontId="0" fillId="0" borderId="0" xfId="0" applyBorder="1"/>
    <xf numFmtId="0" fontId="2" fillId="10" borderId="10" xfId="0" applyFont="1" applyFill="1" applyBorder="1" applyAlignment="1">
      <alignment horizontal="left"/>
    </xf>
    <xf numFmtId="14" fontId="0" fillId="0" borderId="10" xfId="0" applyNumberFormat="1" applyBorder="1"/>
    <xf numFmtId="14" fontId="0" fillId="0" borderId="10" xfId="0" applyNumberFormat="1" applyFill="1" applyBorder="1"/>
    <xf numFmtId="14" fontId="0" fillId="10" borderId="10" xfId="0" applyNumberFormat="1" applyFill="1" applyBorder="1"/>
    <xf numFmtId="0" fontId="2" fillId="0" borderId="10" xfId="0" applyFont="1" applyFill="1" applyBorder="1"/>
    <xf numFmtId="0" fontId="4" fillId="11" borderId="10" xfId="0" applyFont="1" applyFill="1" applyBorder="1" applyAlignment="1">
      <alignment horizontal="center" wrapText="1"/>
    </xf>
    <xf numFmtId="189" fontId="0" fillId="0" borderId="11" xfId="0" applyNumberFormat="1" applyBorder="1"/>
    <xf numFmtId="0" fontId="0" fillId="0" borderId="0" xfId="0" applyAlignment="1">
      <alignment horizontal="center"/>
    </xf>
    <xf numFmtId="0" fontId="4" fillId="10" borderId="11" xfId="0" applyFont="1" applyFill="1" applyBorder="1" applyAlignment="1">
      <alignment wrapText="1"/>
    </xf>
    <xf numFmtId="0" fontId="6" fillId="0" borderId="0" xfId="0" applyFont="1" applyFill="1" applyBorder="1" applyAlignment="1">
      <alignment horizontal="left" wrapText="1"/>
    </xf>
    <xf numFmtId="0" fontId="6" fillId="0" borderId="0" xfId="0" applyFont="1" applyBorder="1" applyAlignment="1">
      <alignment horizontal="left"/>
    </xf>
    <xf numFmtId="0" fontId="4" fillId="10" borderId="10" xfId="0" applyFont="1" applyFill="1" applyBorder="1" applyAlignment="1">
      <alignment wrapText="1"/>
    </xf>
    <xf numFmtId="189" fontId="0" fillId="0" borderId="10" xfId="0" applyNumberFormat="1" applyBorder="1" applyAlignment="1">
      <alignment horizontal="center"/>
    </xf>
    <xf numFmtId="0" fontId="4" fillId="0" borderId="0" xfId="0" applyFont="1" applyFill="1" applyBorder="1"/>
    <xf numFmtId="0" fontId="0" fillId="0" borderId="0" xfId="0" applyFill="1" applyBorder="1"/>
    <xf numFmtId="0" fontId="2" fillId="10" borderId="10" xfId="0" applyFont="1" applyFill="1" applyBorder="1" applyAlignment="1">
      <alignment horizontal="center" wrapText="1"/>
    </xf>
    <xf numFmtId="14" fontId="2" fillId="10" borderId="10" xfId="0" applyNumberFormat="1" applyFont="1" applyFill="1" applyBorder="1" applyAlignment="1">
      <alignment horizontal="center" wrapText="1"/>
    </xf>
    <xf numFmtId="0" fontId="12" fillId="10" borderId="10" xfId="0" applyFont="1" applyFill="1" applyBorder="1" applyAlignment="1">
      <alignment horizontal="left"/>
    </xf>
    <xf numFmtId="14" fontId="6" fillId="0" borderId="10" xfId="0" applyNumberFormat="1" applyFont="1" applyBorder="1"/>
    <xf numFmtId="0" fontId="4" fillId="10" borderId="12" xfId="0" applyFont="1" applyFill="1" applyBorder="1" applyAlignment="1">
      <alignment horizontal="center" wrapText="1"/>
    </xf>
    <xf numFmtId="0" fontId="0" fillId="0" borderId="12" xfId="0" applyBorder="1"/>
    <xf numFmtId="0" fontId="0" fillId="0" borderId="13" xfId="0" applyBorder="1"/>
    <xf numFmtId="0" fontId="4" fillId="0" borderId="0" xfId="0" applyFont="1" applyFill="1" applyBorder="1" applyAlignment="1">
      <alignment horizontal="center" wrapText="1"/>
    </xf>
    <xf numFmtId="0" fontId="4" fillId="0" borderId="13" xfId="0" applyFont="1" applyFill="1" applyBorder="1" applyAlignment="1">
      <alignment horizontal="center" wrapText="1"/>
    </xf>
    <xf numFmtId="0" fontId="0" fillId="0" borderId="10" xfId="0" applyBorder="1" applyAlignment="1">
      <alignment horizontal="center"/>
    </xf>
    <xf numFmtId="0" fontId="4" fillId="0" borderId="0" xfId="0" applyFont="1" applyFill="1" applyBorder="1" applyAlignment="1">
      <alignment wrapText="1"/>
    </xf>
    <xf numFmtId="0" fontId="0" fillId="0" borderId="0" xfId="0" applyFill="1"/>
    <xf numFmtId="0" fontId="2" fillId="0" borderId="0" xfId="0" applyFont="1"/>
    <xf numFmtId="0" fontId="15" fillId="0" borderId="0" xfId="0" applyFont="1"/>
    <xf numFmtId="0" fontId="16" fillId="10" borderId="10" xfId="0" applyFont="1" applyFill="1" applyBorder="1" applyAlignment="1">
      <alignment horizontal="center" wrapText="1"/>
    </xf>
    <xf numFmtId="0" fontId="2" fillId="0" borderId="10" xfId="0" applyFont="1" applyFill="1" applyBorder="1" applyAlignment="1">
      <alignment wrapText="1"/>
    </xf>
    <xf numFmtId="14" fontId="2" fillId="0" borderId="10" xfId="0" applyNumberFormat="1" applyFont="1" applyFill="1" applyBorder="1"/>
    <xf numFmtId="0" fontId="0" fillId="0" borderId="10" xfId="0" applyBorder="1" applyAlignment="1">
      <alignment wrapText="1"/>
    </xf>
    <xf numFmtId="0" fontId="34" fillId="10" borderId="10" xfId="0" applyFont="1" applyFill="1" applyBorder="1" applyAlignment="1">
      <alignment horizontal="center" wrapText="1"/>
    </xf>
    <xf numFmtId="0" fontId="35" fillId="0" borderId="10" xfId="0" applyFont="1" applyBorder="1" applyAlignment="1">
      <alignment horizontal="center"/>
    </xf>
    <xf numFmtId="0" fontId="37" fillId="0" borderId="0" xfId="0" applyFont="1"/>
    <xf numFmtId="0" fontId="37" fillId="0" borderId="10" xfId="0" applyFont="1" applyBorder="1"/>
    <xf numFmtId="0" fontId="0" fillId="0" borderId="0" xfId="0" applyAlignment="1">
      <alignment horizontal="left"/>
    </xf>
    <xf numFmtId="0" fontId="37" fillId="0" borderId="10" xfId="0" applyFont="1" applyBorder="1" applyAlignment="1">
      <alignment horizontal="center"/>
    </xf>
    <xf numFmtId="0" fontId="37" fillId="0" borderId="0" xfId="0" applyFont="1" applyBorder="1" applyAlignment="1">
      <alignment horizontal="center"/>
    </xf>
    <xf numFmtId="0" fontId="35" fillId="13" borderId="0" xfId="0" applyFont="1" applyFill="1" applyAlignment="1">
      <alignment horizontal="left"/>
    </xf>
    <xf numFmtId="0" fontId="35" fillId="14" borderId="10" xfId="0" applyFont="1" applyFill="1" applyBorder="1"/>
    <xf numFmtId="0" fontId="0" fillId="0" borderId="0" xfId="0" applyFont="1"/>
    <xf numFmtId="0" fontId="73" fillId="0" borderId="0" xfId="0" applyFont="1"/>
    <xf numFmtId="0" fontId="40" fillId="0" borderId="10" xfId="0" applyFont="1" applyBorder="1" applyAlignment="1">
      <alignment horizontal="center"/>
    </xf>
    <xf numFmtId="0" fontId="37" fillId="0" borderId="10" xfId="0" applyFont="1" applyBorder="1" applyAlignment="1">
      <alignment wrapText="1"/>
    </xf>
    <xf numFmtId="0" fontId="4" fillId="0" borderId="13" xfId="0" applyFont="1" applyFill="1" applyBorder="1" applyAlignment="1">
      <alignment wrapText="1"/>
    </xf>
    <xf numFmtId="0" fontId="4" fillId="0" borderId="21" xfId="0" applyFont="1" applyFill="1" applyBorder="1" applyAlignment="1">
      <alignment horizontal="center" wrapText="1"/>
    </xf>
    <xf numFmtId="0" fontId="47" fillId="0" borderId="10" xfId="0" applyFont="1" applyFill="1" applyBorder="1"/>
    <xf numFmtId="0" fontId="48" fillId="0" borderId="10" xfId="0" applyFont="1" applyBorder="1"/>
    <xf numFmtId="0" fontId="50" fillId="0" borderId="10" xfId="0" applyFont="1" applyFill="1" applyBorder="1"/>
    <xf numFmtId="0" fontId="49" fillId="0" borderId="10" xfId="0" applyFont="1" applyBorder="1"/>
    <xf numFmtId="0" fontId="52" fillId="0" borderId="10" xfId="0" applyFont="1" applyFill="1" applyBorder="1"/>
    <xf numFmtId="0" fontId="42" fillId="0" borderId="10" xfId="0" applyFont="1" applyFill="1" applyBorder="1" applyAlignment="1">
      <alignment horizontal="right" wrapText="1"/>
    </xf>
    <xf numFmtId="0" fontId="4" fillId="0" borderId="22" xfId="0" applyFont="1" applyFill="1" applyBorder="1" applyAlignment="1">
      <alignment horizontal="center" wrapText="1"/>
    </xf>
    <xf numFmtId="0" fontId="74" fillId="15" borderId="10" xfId="0" applyFont="1" applyFill="1" applyBorder="1" applyAlignment="1">
      <alignment horizontal="center" wrapText="1"/>
    </xf>
    <xf numFmtId="0" fontId="74" fillId="15" borderId="10" xfId="0" applyFont="1" applyFill="1" applyBorder="1" applyAlignment="1">
      <alignment horizontal="center" vertical="center" wrapText="1"/>
    </xf>
    <xf numFmtId="14" fontId="74" fillId="15" borderId="10" xfId="0" applyNumberFormat="1" applyFont="1" applyFill="1" applyBorder="1" applyAlignment="1">
      <alignment horizontal="center" vertical="center" wrapText="1"/>
    </xf>
    <xf numFmtId="0" fontId="74" fillId="16" borderId="10" xfId="0" applyFont="1" applyFill="1" applyBorder="1" applyAlignment="1">
      <alignment horizontal="center" vertical="center" wrapText="1"/>
    </xf>
    <xf numFmtId="0" fontId="43" fillId="0" borderId="10" xfId="0" applyFont="1" applyFill="1" applyBorder="1" applyAlignment="1">
      <alignment wrapText="1"/>
    </xf>
    <xf numFmtId="0" fontId="42" fillId="0" borderId="0" xfId="0" applyFont="1" applyFill="1" applyBorder="1" applyAlignment="1">
      <alignment horizontal="left" vertical="center" wrapText="1"/>
    </xf>
    <xf numFmtId="0" fontId="54" fillId="0" borderId="10" xfId="0" applyFont="1" applyFill="1" applyBorder="1" applyAlignment="1">
      <alignment horizontal="left" vertical="center" wrapText="1"/>
    </xf>
    <xf numFmtId="0" fontId="0" fillId="0" borderId="13" xfId="0" applyBorder="1" applyAlignment="1">
      <alignment wrapText="1"/>
    </xf>
    <xf numFmtId="0" fontId="0" fillId="0" borderId="23" xfId="0" applyBorder="1" applyAlignment="1">
      <alignment wrapText="1"/>
    </xf>
    <xf numFmtId="0" fontId="42" fillId="0" borderId="10" xfId="0" applyFont="1" applyFill="1" applyBorder="1" applyAlignment="1">
      <alignment vertical="center" wrapText="1"/>
    </xf>
    <xf numFmtId="0" fontId="0" fillId="0" borderId="24" xfId="0" applyBorder="1" applyAlignment="1">
      <alignment wrapText="1"/>
    </xf>
    <xf numFmtId="0" fontId="0" fillId="14" borderId="0" xfId="0" applyFill="1" applyBorder="1" applyAlignment="1">
      <alignment wrapText="1"/>
    </xf>
    <xf numFmtId="0" fontId="0" fillId="14" borderId="14" xfId="0" applyFill="1" applyBorder="1" applyAlignment="1">
      <alignment wrapText="1"/>
    </xf>
    <xf numFmtId="0" fontId="43" fillId="0" borderId="10" xfId="0" applyNumberFormat="1" applyFont="1" applyFill="1" applyBorder="1" applyAlignment="1">
      <alignment wrapText="1"/>
    </xf>
    <xf numFmtId="0" fontId="0" fillId="0" borderId="25" xfId="0" applyFill="1" applyBorder="1" applyAlignment="1">
      <alignment wrapText="1"/>
    </xf>
    <xf numFmtId="0" fontId="0" fillId="0" borderId="26" xfId="0" applyFill="1" applyBorder="1" applyAlignment="1">
      <alignment wrapText="1"/>
    </xf>
    <xf numFmtId="0" fontId="42" fillId="0" borderId="27" xfId="0" applyFont="1" applyFill="1" applyBorder="1" applyAlignment="1">
      <alignment vertical="center" wrapText="1"/>
    </xf>
    <xf numFmtId="0" fontId="0" fillId="0" borderId="26"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14" xfId="0" applyBorder="1" applyAlignment="1">
      <alignment wrapText="1"/>
    </xf>
    <xf numFmtId="0" fontId="75" fillId="0" borderId="10" xfId="0" applyFont="1" applyFill="1" applyBorder="1" applyAlignment="1">
      <alignment horizontal="left" wrapText="1"/>
    </xf>
    <xf numFmtId="14" fontId="43" fillId="0" borderId="10" xfId="0" applyNumberFormat="1" applyFont="1" applyFill="1" applyBorder="1" applyAlignment="1">
      <alignment wrapText="1"/>
    </xf>
    <xf numFmtId="0" fontId="0" fillId="0" borderId="30" xfId="0" applyBorder="1" applyAlignment="1">
      <alignment wrapText="1"/>
    </xf>
    <xf numFmtId="0" fontId="43" fillId="0" borderId="10" xfId="0" applyFont="1" applyFill="1" applyBorder="1" applyAlignment="1">
      <alignment horizontal="left" wrapText="1"/>
    </xf>
    <xf numFmtId="0" fontId="42" fillId="0" borderId="13" xfId="0" applyFont="1" applyFill="1" applyBorder="1" applyAlignment="1">
      <alignment horizontal="left" vertical="center" wrapText="1"/>
    </xf>
    <xf numFmtId="0" fontId="42" fillId="0" borderId="14" xfId="0" applyFont="1" applyFill="1" applyBorder="1" applyAlignment="1">
      <alignment horizontal="left" vertical="center" wrapText="1"/>
    </xf>
    <xf numFmtId="14" fontId="54" fillId="0" borderId="10" xfId="0" applyNumberFormat="1" applyFont="1" applyFill="1" applyBorder="1" applyAlignment="1">
      <alignment horizontal="left" vertical="center" wrapText="1"/>
    </xf>
    <xf numFmtId="14" fontId="0" fillId="0" borderId="10" xfId="0" applyNumberFormat="1" applyBorder="1" applyAlignment="1">
      <alignment wrapText="1"/>
    </xf>
    <xf numFmtId="0" fontId="0" fillId="0" borderId="10" xfId="0" applyBorder="1" applyAlignment="1">
      <alignment horizontal="center" wrapText="1"/>
    </xf>
    <xf numFmtId="0" fontId="53" fillId="0" borderId="10" xfId="0" applyFont="1" applyBorder="1" applyAlignment="1">
      <alignment wrapText="1"/>
    </xf>
    <xf numFmtId="0" fontId="76" fillId="0" borderId="10" xfId="0" applyFont="1" applyFill="1" applyBorder="1" applyAlignment="1">
      <alignment vertical="center" wrapText="1"/>
    </xf>
    <xf numFmtId="0" fontId="56" fillId="0" borderId="10" xfId="0" applyFont="1" applyBorder="1"/>
    <xf numFmtId="0" fontId="58" fillId="0" borderId="10" xfId="0" applyFont="1" applyFill="1" applyBorder="1"/>
    <xf numFmtId="0" fontId="60" fillId="0" borderId="10" xfId="0" applyFont="1" applyBorder="1"/>
    <xf numFmtId="14" fontId="10" fillId="0" borderId="10" xfId="0" applyNumberFormat="1" applyFont="1" applyBorder="1"/>
    <xf numFmtId="0" fontId="0" fillId="0" borderId="10" xfId="0" applyFill="1" applyBorder="1" applyAlignment="1">
      <alignment wrapText="1"/>
    </xf>
    <xf numFmtId="0" fontId="61" fillId="0" borderId="10" xfId="0" applyFont="1" applyFill="1" applyBorder="1"/>
    <xf numFmtId="0" fontId="62" fillId="0" borderId="10" xfId="0" applyFont="1" applyFill="1" applyBorder="1"/>
    <xf numFmtId="0" fontId="62" fillId="0" borderId="10" xfId="0" applyFont="1" applyFill="1" applyBorder="1" applyAlignment="1">
      <alignment wrapText="1"/>
    </xf>
    <xf numFmtId="0" fontId="63" fillId="0" borderId="10" xfId="0" applyFont="1" applyBorder="1"/>
    <xf numFmtId="0" fontId="65" fillId="0" borderId="10" xfId="0" applyFont="1" applyBorder="1"/>
    <xf numFmtId="0" fontId="66" fillId="0" borderId="10" xfId="0" applyFont="1" applyFill="1" applyBorder="1"/>
    <xf numFmtId="0" fontId="66" fillId="0" borderId="10" xfId="0" applyFont="1" applyBorder="1"/>
    <xf numFmtId="0" fontId="43" fillId="0" borderId="13" xfId="0" applyFont="1" applyFill="1" applyBorder="1" applyAlignment="1">
      <alignment wrapText="1"/>
    </xf>
    <xf numFmtId="14" fontId="43" fillId="0" borderId="0" xfId="0" applyNumberFormat="1" applyFont="1" applyFill="1" applyBorder="1" applyAlignment="1">
      <alignment wrapText="1"/>
    </xf>
    <xf numFmtId="0" fontId="43" fillId="0" borderId="0" xfId="0" applyFont="1" applyFill="1" applyBorder="1" applyAlignment="1">
      <alignment wrapText="1"/>
    </xf>
    <xf numFmtId="0" fontId="43" fillId="0" borderId="0" xfId="0" applyNumberFormat="1" applyFont="1" applyFill="1" applyBorder="1" applyAlignment="1">
      <alignment wrapText="1"/>
    </xf>
    <xf numFmtId="0" fontId="43" fillId="0" borderId="14" xfId="0" applyFont="1" applyFill="1" applyBorder="1" applyAlignment="1">
      <alignment wrapText="1"/>
    </xf>
    <xf numFmtId="0" fontId="9" fillId="0" borderId="10" xfId="0" applyFont="1" applyBorder="1"/>
    <xf numFmtId="0" fontId="68" fillId="0" borderId="0" xfId="0" applyFont="1"/>
    <xf numFmtId="0" fontId="69" fillId="0" borderId="10" xfId="0" applyFont="1" applyFill="1" applyBorder="1"/>
    <xf numFmtId="0" fontId="69" fillId="0" borderId="10" xfId="0" applyFont="1" applyBorder="1"/>
    <xf numFmtId="0" fontId="54" fillId="0" borderId="13" xfId="0" applyFont="1" applyFill="1" applyBorder="1" applyAlignment="1">
      <alignment horizontal="left" vertical="center" wrapText="1"/>
    </xf>
    <xf numFmtId="14" fontId="54" fillId="0" borderId="0" xfId="0" applyNumberFormat="1" applyFont="1" applyFill="1" applyBorder="1" applyAlignment="1">
      <alignment horizontal="left" vertical="center" wrapText="1"/>
    </xf>
    <xf numFmtId="0" fontId="54" fillId="0" borderId="0" xfId="0" applyFont="1" applyFill="1" applyBorder="1" applyAlignment="1">
      <alignment horizontal="left" vertical="center" wrapText="1"/>
    </xf>
    <xf numFmtId="0" fontId="54" fillId="0" borderId="14" xfId="0" applyFont="1" applyFill="1" applyBorder="1" applyAlignment="1">
      <alignment horizontal="left" vertical="center" wrapText="1"/>
    </xf>
    <xf numFmtId="0" fontId="71" fillId="0" borderId="10" xfId="0" applyFont="1" applyFill="1" applyBorder="1" applyAlignment="1">
      <alignment wrapText="1"/>
    </xf>
    <xf numFmtId="0" fontId="72" fillId="0" borderId="0" xfId="0" applyFont="1" applyAlignment="1">
      <alignment horizontal="left" vertical="center"/>
    </xf>
    <xf numFmtId="58" fontId="0" fillId="0" borderId="10" xfId="0" applyNumberFormat="1" applyBorder="1" applyAlignment="1">
      <alignment wrapText="1"/>
    </xf>
    <xf numFmtId="0" fontId="5" fillId="9" borderId="10" xfId="7" applyFont="1" applyFill="1" applyBorder="1" applyAlignment="1">
      <alignment horizontal="center"/>
    </xf>
    <xf numFmtId="0" fontId="4" fillId="0" borderId="10" xfId="7" applyFont="1" applyFill="1" applyBorder="1" applyAlignment="1">
      <alignment horizontal="center"/>
    </xf>
    <xf numFmtId="0" fontId="5" fillId="0" borderId="0" xfId="7" applyFont="1" applyAlignment="1">
      <alignment horizontal="center"/>
    </xf>
    <xf numFmtId="0" fontId="6" fillId="0" borderId="10" xfId="0" applyFont="1" applyFill="1" applyBorder="1" applyAlignment="1">
      <alignment horizontal="left" wrapText="1"/>
    </xf>
    <xf numFmtId="0" fontId="6" fillId="0" borderId="10" xfId="0" applyFont="1" applyBorder="1" applyAlignment="1">
      <alignment horizontal="left"/>
    </xf>
    <xf numFmtId="0" fontId="11" fillId="12" borderId="15" xfId="0" applyFont="1" applyFill="1" applyBorder="1" applyAlignment="1">
      <alignment horizontal="center"/>
    </xf>
    <xf numFmtId="0" fontId="11" fillId="12" borderId="16" xfId="0" applyFont="1" applyFill="1" applyBorder="1" applyAlignment="1">
      <alignment horizontal="center"/>
    </xf>
    <xf numFmtId="0" fontId="11" fillId="12" borderId="17" xfId="0" applyFont="1" applyFill="1" applyBorder="1" applyAlignment="1">
      <alignment horizontal="center"/>
    </xf>
    <xf numFmtId="0" fontId="4" fillId="0" borderId="0" xfId="0" applyFont="1" applyBorder="1" applyAlignment="1">
      <alignment horizontal="left" wrapText="1"/>
    </xf>
    <xf numFmtId="0" fontId="4" fillId="0" borderId="0" xfId="0" applyFont="1" applyBorder="1" applyAlignment="1">
      <alignment horizontal="left"/>
    </xf>
    <xf numFmtId="0" fontId="2" fillId="0" borderId="0" xfId="0" applyFont="1" applyAlignment="1">
      <alignment wrapText="1"/>
    </xf>
    <xf numFmtId="0" fontId="0" fillId="0" borderId="0" xfId="0" applyAlignment="1">
      <alignment wrapText="1"/>
    </xf>
    <xf numFmtId="0" fontId="2" fillId="0" borderId="10" xfId="0" applyFont="1" applyFill="1" applyBorder="1" applyAlignment="1">
      <alignment horizontal="left" wrapText="1"/>
    </xf>
    <xf numFmtId="0" fontId="37" fillId="0" borderId="10" xfId="0" applyFont="1" applyFill="1" applyBorder="1" applyAlignment="1">
      <alignment horizontal="left" wrapText="1"/>
    </xf>
    <xf numFmtId="0" fontId="4" fillId="10" borderId="12" xfId="0" applyFont="1" applyFill="1" applyBorder="1" applyAlignment="1">
      <alignment horizontal="center"/>
    </xf>
    <xf numFmtId="0" fontId="4" fillId="10" borderId="18" xfId="0" applyFont="1" applyFill="1" applyBorder="1" applyAlignment="1">
      <alignment horizontal="center"/>
    </xf>
    <xf numFmtId="14" fontId="0" fillId="0" borderId="12" xfId="0" applyNumberFormat="1" applyBorder="1" applyAlignment="1"/>
    <xf numFmtId="0" fontId="0" fillId="0" borderId="18" xfId="0" applyBorder="1" applyAlignment="1"/>
    <xf numFmtId="0" fontId="0" fillId="0" borderId="12" xfId="0" applyBorder="1" applyAlignment="1">
      <alignment horizontal="center"/>
    </xf>
    <xf numFmtId="0" fontId="0" fillId="0" borderId="18" xfId="0" applyBorder="1" applyAlignment="1">
      <alignment horizontal="center"/>
    </xf>
    <xf numFmtId="0" fontId="11" fillId="12" borderId="12" xfId="0" applyFont="1" applyFill="1" applyBorder="1" applyAlignment="1">
      <alignment horizontal="center"/>
    </xf>
    <xf numFmtId="0" fontId="11" fillId="12" borderId="19" xfId="0" applyFont="1" applyFill="1" applyBorder="1" applyAlignment="1">
      <alignment horizontal="center"/>
    </xf>
    <xf numFmtId="0" fontId="11" fillId="12" borderId="18" xfId="0" applyFont="1" applyFill="1" applyBorder="1" applyAlignment="1">
      <alignment horizontal="center"/>
    </xf>
    <xf numFmtId="0" fontId="18" fillId="0" borderId="17" xfId="0" applyFont="1" applyBorder="1" applyAlignment="1">
      <alignment horizontal="left" wrapText="1"/>
    </xf>
    <xf numFmtId="0" fontId="4" fillId="0" borderId="20" xfId="0" applyFont="1" applyBorder="1" applyAlignment="1">
      <alignment horizontal="left"/>
    </xf>
    <xf numFmtId="0" fontId="4" fillId="0" borderId="15" xfId="0" applyFont="1" applyBorder="1" applyAlignment="1">
      <alignment horizontal="left"/>
    </xf>
    <xf numFmtId="0" fontId="4" fillId="10" borderId="12" xfId="0" applyFont="1" applyFill="1" applyBorder="1" applyAlignment="1">
      <alignment horizontal="center" wrapText="1"/>
    </xf>
    <xf numFmtId="0" fontId="0" fillId="0" borderId="18" xfId="0" applyBorder="1" applyAlignment="1">
      <alignment horizontal="center" wrapText="1"/>
    </xf>
    <xf numFmtId="0" fontId="0" fillId="0" borderId="12" xfId="0" applyBorder="1" applyAlignment="1">
      <alignment wrapText="1"/>
    </xf>
    <xf numFmtId="0" fontId="0" fillId="0" borderId="18" xfId="0" applyBorder="1" applyAlignment="1">
      <alignment wrapText="1"/>
    </xf>
    <xf numFmtId="0" fontId="77" fillId="0" borderId="10" xfId="0" applyFont="1" applyFill="1" applyBorder="1" applyAlignment="1">
      <alignment horizontal="left" vertical="center" wrapText="1"/>
    </xf>
    <xf numFmtId="0" fontId="78" fillId="0" borderId="10" xfId="0" applyFont="1" applyFill="1" applyBorder="1" applyAlignment="1">
      <alignment horizontal="center" vertical="center" wrapText="1"/>
    </xf>
    <xf numFmtId="0" fontId="43" fillId="0" borderId="10" xfId="0" applyFont="1" applyFill="1" applyBorder="1" applyAlignment="1">
      <alignment horizontal="left" vertical="center" wrapText="1"/>
    </xf>
    <xf numFmtId="0" fontId="0" fillId="0" borderId="23" xfId="0" applyFill="1" applyBorder="1" applyAlignment="1">
      <alignment horizontal="center" wrapText="1"/>
    </xf>
    <xf numFmtId="0" fontId="0" fillId="0" borderId="0" xfId="0" applyFill="1" applyBorder="1" applyAlignment="1">
      <alignment horizontal="center" wrapText="1"/>
    </xf>
    <xf numFmtId="0" fontId="0" fillId="0" borderId="14" xfId="0" applyFill="1" applyBorder="1" applyAlignment="1">
      <alignment horizontal="center" wrapText="1"/>
    </xf>
    <xf numFmtId="0" fontId="42" fillId="0" borderId="13" xfId="0" applyFont="1" applyFill="1" applyBorder="1" applyAlignment="1">
      <alignment horizontal="left" vertical="center" wrapText="1"/>
    </xf>
    <xf numFmtId="0" fontId="42" fillId="0" borderId="0" xfId="0" applyFont="1" applyFill="1" applyBorder="1" applyAlignment="1">
      <alignment horizontal="left" vertical="center" wrapText="1"/>
    </xf>
    <xf numFmtId="0" fontId="42" fillId="0" borderId="14" xfId="0" applyFont="1" applyFill="1" applyBorder="1" applyAlignment="1">
      <alignment horizontal="left" vertical="center" wrapText="1"/>
    </xf>
    <xf numFmtId="0" fontId="74" fillId="15" borderId="12" xfId="0" applyFont="1" applyFill="1" applyBorder="1" applyAlignment="1">
      <alignment horizontal="center" vertical="center" wrapText="1"/>
    </xf>
    <xf numFmtId="0" fontId="0" fillId="0" borderId="18" xfId="0" applyBorder="1" applyAlignment="1">
      <alignment horizontal="center" vertical="center" wrapText="1"/>
    </xf>
    <xf numFmtId="14" fontId="0" fillId="0" borderId="12" xfId="0" applyNumberFormat="1" applyBorder="1" applyAlignment="1">
      <alignment wrapText="1"/>
    </xf>
    <xf numFmtId="14" fontId="0" fillId="0" borderId="10" xfId="0" applyNumberFormat="1" applyBorder="1" applyAlignment="1">
      <alignment wrapText="1"/>
    </xf>
    <xf numFmtId="0" fontId="0" fillId="0" borderId="10" xfId="0" applyBorder="1" applyAlignment="1">
      <alignment wrapText="1"/>
    </xf>
    <xf numFmtId="0" fontId="35" fillId="17" borderId="0" xfId="0" applyFont="1" applyFill="1" applyAlignment="1">
      <alignment horizontal="center"/>
    </xf>
    <xf numFmtId="0" fontId="14" fillId="17" borderId="0" xfId="0" applyFont="1" applyFill="1" applyAlignment="1">
      <alignment horizontal="center"/>
    </xf>
    <xf numFmtId="0" fontId="40" fillId="17" borderId="0" xfId="0" applyFont="1" applyFill="1" applyAlignment="1">
      <alignment horizontal="center"/>
    </xf>
    <xf numFmtId="0" fontId="38" fillId="0" borderId="0" xfId="0" applyFont="1" applyAlignment="1">
      <alignment wrapText="1"/>
    </xf>
    <xf numFmtId="0" fontId="0" fillId="0" borderId="0" xfId="0" applyAlignment="1"/>
    <xf numFmtId="0" fontId="12" fillId="0" borderId="0" xfId="0" applyFont="1" applyAlignment="1">
      <alignment wrapText="1"/>
    </xf>
    <xf numFmtId="0" fontId="6" fillId="0" borderId="0" xfId="0" applyFont="1" applyAlignment="1">
      <alignment wrapText="1"/>
    </xf>
    <xf numFmtId="0" fontId="79" fillId="0" borderId="0" xfId="0" applyFont="1" applyAlignment="1"/>
    <xf numFmtId="0" fontId="73" fillId="0" borderId="0" xfId="0" applyFont="1" applyAlignment="1"/>
    <xf numFmtId="0" fontId="80" fillId="0" borderId="10" xfId="0" applyFont="1" applyFill="1" applyBorder="1"/>
    <xf numFmtId="0" fontId="80" fillId="0" borderId="10" xfId="0" applyFont="1" applyFill="1" applyBorder="1" applyAlignment="1">
      <alignment wrapText="1"/>
    </xf>
    <xf numFmtId="0" fontId="80" fillId="0" borderId="10" xfId="0" applyFont="1" applyBorder="1"/>
  </cellXfs>
  <cellStyles count="19">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常规" xfId="0" builtinId="0"/>
    <cellStyle name="常规_SF-124 ISMS文档模板(Excel) V1.0" xfId="7"/>
    <cellStyle name="好" xfId="8" builtinId="26" customBuiltin="1"/>
    <cellStyle name="汇总" xfId="9" builtinId="25" customBuiltin="1"/>
    <cellStyle name="计算" xfId="10" builtinId="22" customBuiltin="1"/>
    <cellStyle name="检查单元格" xfId="11" builtinId="23" customBuiltin="1"/>
    <cellStyle name="解释性文本" xfId="12" builtinId="53" customBuiltin="1"/>
    <cellStyle name="警告文本" xfId="13" builtinId="11" customBuiltin="1"/>
    <cellStyle name="链接单元格" xfId="14" builtinId="24" customBuiltin="1"/>
    <cellStyle name="适中" xfId="15" builtinId="28" customBuiltin="1"/>
    <cellStyle name="输出" xfId="16" builtinId="21" customBuiltin="1"/>
    <cellStyle name="输入" xfId="17" builtinId="20" customBuiltin="1"/>
    <cellStyle name="注释" xfId="18"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22.png"/><Relationship Id="rId1" Type="http://schemas.openxmlformats.org/officeDocument/2006/relationships/image" Target="../media/image21.png"/><Relationship Id="rId4" Type="http://schemas.openxmlformats.org/officeDocument/2006/relationships/image" Target="../media/image24.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12.emf"/><Relationship Id="rId1" Type="http://schemas.openxmlformats.org/officeDocument/2006/relationships/image" Target="../media/image13.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xdr:col>
      <xdr:colOff>0</xdr:colOff>
      <xdr:row>2</xdr:row>
      <xdr:rowOff>19050</xdr:rowOff>
    </xdr:from>
    <xdr:to>
      <xdr:col>2</xdr:col>
      <xdr:colOff>0</xdr:colOff>
      <xdr:row>4</xdr:row>
      <xdr:rowOff>133350</xdr:rowOff>
    </xdr:to>
    <xdr:pic>
      <xdr:nvPicPr>
        <xdr:cNvPr id="1229" name="Picture 1" descr="amway 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323850"/>
          <a:ext cx="847725"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9525</xdr:colOff>
      <xdr:row>28</xdr:row>
      <xdr:rowOff>85725</xdr:rowOff>
    </xdr:from>
    <xdr:to>
      <xdr:col>6</xdr:col>
      <xdr:colOff>57150</xdr:colOff>
      <xdr:row>31</xdr:row>
      <xdr:rowOff>57150</xdr:rowOff>
    </xdr:to>
    <xdr:sp macro="" textlink="">
      <xdr:nvSpPr>
        <xdr:cNvPr id="1026" name="Text Box 2"/>
        <xdr:cNvSpPr txBox="1">
          <a:spLocks noChangeArrowheads="1"/>
        </xdr:cNvSpPr>
      </xdr:nvSpPr>
      <xdr:spPr bwMode="auto">
        <a:xfrm>
          <a:off x="247650" y="4352925"/>
          <a:ext cx="6562725" cy="4286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lnSpc>
              <a:spcPts val="1100"/>
            </a:lnSpc>
            <a:defRPr sz="1000"/>
          </a:pPr>
          <a:r>
            <a:rPr lang="zh-CN" altLang="en-US" sz="1050" b="0" i="0" u="none" strike="noStrike" baseline="0">
              <a:solidFill>
                <a:srgbClr val="000000"/>
              </a:solidFill>
              <a:latin typeface="宋体"/>
              <a:ea typeface="宋体"/>
            </a:rPr>
            <a:t>安利（中国）日用品有限公司数据中心保留所有权利。未经版权所有者的书面许可，禁止通过直接复印机、缩微胶片、静电复印术或任何其他方式以任何形式复制本文任何部分。</a:t>
          </a:r>
          <a:endParaRPr lang="zh-CN" altLang="en-US" sz="1050" b="0" i="0" u="none" strike="noStrike" baseline="0">
            <a:solidFill>
              <a:srgbClr val="000000"/>
            </a:solidFill>
            <a:latin typeface="Times New Roman"/>
            <a:ea typeface="宋体"/>
            <a:cs typeface="Times New Roman"/>
          </a:endParaRPr>
        </a:p>
        <a:p>
          <a:pPr algn="l" rtl="0">
            <a:lnSpc>
              <a:spcPts val="1100"/>
            </a:lnSpc>
            <a:defRPr sz="1000"/>
          </a:pPr>
          <a:endParaRPr lang="zh-CN" alt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171450</xdr:colOff>
          <xdr:row>1</xdr:row>
          <xdr:rowOff>76200</xdr:rowOff>
        </xdr:from>
        <xdr:to>
          <xdr:col>5</xdr:col>
          <xdr:colOff>485775</xdr:colOff>
          <xdr:row>1</xdr:row>
          <xdr:rowOff>371475</xdr:rowOff>
        </xdr:to>
        <xdr:sp macro="" textlink="">
          <xdr:nvSpPr>
            <xdr:cNvPr id="11265" name="CommandButton1"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xdr:row>
          <xdr:rowOff>76200</xdr:rowOff>
        </xdr:from>
        <xdr:to>
          <xdr:col>6</xdr:col>
          <xdr:colOff>600075</xdr:colOff>
          <xdr:row>1</xdr:row>
          <xdr:rowOff>361950</xdr:rowOff>
        </xdr:to>
        <xdr:sp macro="" textlink="">
          <xdr:nvSpPr>
            <xdr:cNvPr id="11267" name="CommandButton2"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5537" name="CommandButton1" hidden="1">
              <a:extLst>
                <a:ext uri="{63B3BB69-23CF-44E3-9099-C40C66FF867C}">
                  <a14:compatExt spid="_x0000_s655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5538" name="CommandButton2" hidden="1">
              <a:extLst>
                <a:ext uri="{63B3BB69-23CF-44E3-9099-C40C66FF867C}">
                  <a14:compatExt spid="_x0000_s655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4513" name="CommandButton1" hidden="1">
              <a:extLst>
                <a:ext uri="{63B3BB69-23CF-44E3-9099-C40C66FF867C}">
                  <a14:compatExt spid="_x0000_s645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4514" name="CommandButton2" hidden="1">
              <a:extLst>
                <a:ext uri="{63B3BB69-23CF-44E3-9099-C40C66FF867C}">
                  <a14:compatExt spid="_x0000_s645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3489" name="CommandButton1" hidden="1">
              <a:extLst>
                <a:ext uri="{63B3BB69-23CF-44E3-9099-C40C66FF867C}">
                  <a14:compatExt spid="_x0000_s634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3490" name="CommandButton2" hidden="1">
              <a:extLst>
                <a:ext uri="{63B3BB69-23CF-44E3-9099-C40C66FF867C}">
                  <a14:compatExt spid="_x0000_s634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2465" name="CommandButton1" hidden="1">
              <a:extLst>
                <a:ext uri="{63B3BB69-23CF-44E3-9099-C40C66FF867C}">
                  <a14:compatExt spid="_x0000_s62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2466" name="CommandButton2" hidden="1">
              <a:extLst>
                <a:ext uri="{63B3BB69-23CF-44E3-9099-C40C66FF867C}">
                  <a14:compatExt spid="_x0000_s624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61441" name="CommandButton1" hidden="1">
              <a:extLst>
                <a:ext uri="{63B3BB69-23CF-44E3-9099-C40C66FF867C}">
                  <a14:compatExt spid="_x0000_s614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61442" name="CommandButton2" hidden="1">
              <a:extLst>
                <a:ext uri="{63B3BB69-23CF-44E3-9099-C40C66FF867C}">
                  <a14:compatExt spid="_x0000_s614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9393" name="CommandButton1" hidden="1">
              <a:extLst>
                <a:ext uri="{63B3BB69-23CF-44E3-9099-C40C66FF867C}">
                  <a14:compatExt spid="_x0000_s593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9394" name="CommandButton2" hidden="1">
              <a:extLst>
                <a:ext uri="{63B3BB69-23CF-44E3-9099-C40C66FF867C}">
                  <a14:compatExt spid="_x0000_s593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58369" name="CommandButton1"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58370" name="CommandButton2" hidden="1">
              <a:extLst>
                <a:ext uri="{63B3BB69-23CF-44E3-9099-C40C66FF867C}">
                  <a14:compatExt spid="_x0000_s583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13</xdr:col>
          <xdr:colOff>171450</xdr:colOff>
          <xdr:row>1</xdr:row>
          <xdr:rowOff>123825</xdr:rowOff>
        </xdr:to>
        <xdr:sp macro="" textlink="">
          <xdr:nvSpPr>
            <xdr:cNvPr id="8196" name="CommandButton1"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28575</xdr:colOff>
          <xdr:row>0</xdr:row>
          <xdr:rowOff>0</xdr:rowOff>
        </xdr:from>
        <xdr:to>
          <xdr:col>17</xdr:col>
          <xdr:colOff>190500</xdr:colOff>
          <xdr:row>1</xdr:row>
          <xdr:rowOff>123825</xdr:rowOff>
        </xdr:to>
        <xdr:sp macro="" textlink="">
          <xdr:nvSpPr>
            <xdr:cNvPr id="8208" name="CommandButton2" hidden="1">
              <a:extLst>
                <a:ext uri="{63B3BB69-23CF-44E3-9099-C40C66FF867C}">
                  <a14:compatExt spid="_x0000_s8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457200</xdr:colOff>
          <xdr:row>2</xdr:row>
          <xdr:rowOff>19050</xdr:rowOff>
        </xdr:to>
        <xdr:sp macro="" textlink="">
          <xdr:nvSpPr>
            <xdr:cNvPr id="48129" name="CommandButton3" hidden="1">
              <a:extLst>
                <a:ext uri="{63B3BB69-23CF-44E3-9099-C40C66FF867C}">
                  <a14:compatExt spid="_x0000_s48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0</xdr:col>
      <xdr:colOff>19050</xdr:colOff>
      <xdr:row>3</xdr:row>
      <xdr:rowOff>9525</xdr:rowOff>
    </xdr:from>
    <xdr:to>
      <xdr:col>14</xdr:col>
      <xdr:colOff>561975</xdr:colOff>
      <xdr:row>36</xdr:row>
      <xdr:rowOff>9525</xdr:rowOff>
    </xdr:to>
    <xdr:sp macro="" textlink="">
      <xdr:nvSpPr>
        <xdr:cNvPr id="42783" name="Rectangle 4"/>
        <xdr:cNvSpPr>
          <a:spLocks noChangeArrowheads="1"/>
        </xdr:cNvSpPr>
      </xdr:nvSpPr>
      <xdr:spPr bwMode="auto">
        <a:xfrm>
          <a:off x="19050" y="866775"/>
          <a:ext cx="9077325" cy="5314950"/>
        </a:xfrm>
        <a:prstGeom prst="rect">
          <a:avLst/>
        </a:prstGeom>
        <a:solidFill>
          <a:srgbClr xmlns:mc="http://schemas.openxmlformats.org/markup-compatibility/2006" xmlns:a14="http://schemas.microsoft.com/office/drawing/2010/main" val="000000" mc:Ignorable="a14" a14:legacySpreadsheetColorIndex="8"/>
        </a:solidFill>
        <a:ln w="25400">
          <a:solidFill>
            <a:srgbClr xmlns:mc="http://schemas.openxmlformats.org/markup-compatibility/2006" xmlns:a14="http://schemas.microsoft.com/office/drawing/2010/main" val="000000" mc:Ignorable="a14" a14:legacySpreadsheetColorIndex="64"/>
          </a:solidFill>
          <a:miter lim="800000"/>
          <a:headEnd/>
          <a:tailEnd/>
        </a:ln>
      </xdr:spPr>
    </xdr:sp>
    <xdr:clientData/>
  </xdr:twoCellAnchor>
  <xdr:twoCellAnchor editAs="oneCell">
    <xdr:from>
      <xdr:col>0</xdr:col>
      <xdr:colOff>133350</xdr:colOff>
      <xdr:row>94</xdr:row>
      <xdr:rowOff>152400</xdr:rowOff>
    </xdr:from>
    <xdr:to>
      <xdr:col>6</xdr:col>
      <xdr:colOff>9525</xdr:colOff>
      <xdr:row>124</xdr:row>
      <xdr:rowOff>19050</xdr:rowOff>
    </xdr:to>
    <xdr:pic>
      <xdr:nvPicPr>
        <xdr:cNvPr id="42784" name="Picture 10"/>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17002125"/>
          <a:ext cx="3533775" cy="472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66675</xdr:colOff>
      <xdr:row>73</xdr:row>
      <xdr:rowOff>28575</xdr:rowOff>
    </xdr:from>
    <xdr:to>
      <xdr:col>5</xdr:col>
      <xdr:colOff>476250</xdr:colOff>
      <xdr:row>91</xdr:row>
      <xdr:rowOff>142875</xdr:rowOff>
    </xdr:to>
    <xdr:pic>
      <xdr:nvPicPr>
        <xdr:cNvPr id="42785" name="Picture 1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6675" y="13020675"/>
          <a:ext cx="3457575" cy="302895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xdr:col>
      <xdr:colOff>9525</xdr:colOff>
      <xdr:row>84</xdr:row>
      <xdr:rowOff>85725</xdr:rowOff>
    </xdr:from>
    <xdr:to>
      <xdr:col>1</xdr:col>
      <xdr:colOff>476250</xdr:colOff>
      <xdr:row>87</xdr:row>
      <xdr:rowOff>38100</xdr:rowOff>
    </xdr:to>
    <xdr:sp macro="" textlink="">
      <xdr:nvSpPr>
        <xdr:cNvPr id="42786" name="Oval 12"/>
        <xdr:cNvSpPr>
          <a:spLocks noChangeArrowheads="1"/>
        </xdr:cNvSpPr>
      </xdr:nvSpPr>
      <xdr:spPr bwMode="auto">
        <a:xfrm>
          <a:off x="619125" y="14859000"/>
          <a:ext cx="466725" cy="43815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00" mc:Ignorable="a14" a14:legacySpreadsheetColorIndex="13"/>
              </a:solidFill>
            </a14:hiddenFill>
          </a:ext>
        </a:extLst>
      </xdr:spPr>
    </xdr:sp>
    <xdr:clientData/>
  </xdr:twoCellAnchor>
  <xdr:twoCellAnchor>
    <xdr:from>
      <xdr:col>3</xdr:col>
      <xdr:colOff>285750</xdr:colOff>
      <xdr:row>95</xdr:row>
      <xdr:rowOff>76200</xdr:rowOff>
    </xdr:from>
    <xdr:to>
      <xdr:col>4</xdr:col>
      <xdr:colOff>180975</xdr:colOff>
      <xdr:row>98</xdr:row>
      <xdr:rowOff>9525</xdr:rowOff>
    </xdr:to>
    <xdr:sp macro="" textlink="">
      <xdr:nvSpPr>
        <xdr:cNvPr id="42787" name="Oval 13"/>
        <xdr:cNvSpPr>
          <a:spLocks noChangeArrowheads="1"/>
        </xdr:cNvSpPr>
      </xdr:nvSpPr>
      <xdr:spPr bwMode="auto">
        <a:xfrm>
          <a:off x="2114550" y="17087850"/>
          <a:ext cx="504825" cy="4191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0</xdr:col>
      <xdr:colOff>257175</xdr:colOff>
      <xdr:row>108</xdr:row>
      <xdr:rowOff>38100</xdr:rowOff>
    </xdr:from>
    <xdr:to>
      <xdr:col>2</xdr:col>
      <xdr:colOff>276225</xdr:colOff>
      <xdr:row>110</xdr:row>
      <xdr:rowOff>104775</xdr:rowOff>
    </xdr:to>
    <xdr:sp macro="" textlink="">
      <xdr:nvSpPr>
        <xdr:cNvPr id="42788" name="Rectangle 15"/>
        <xdr:cNvSpPr>
          <a:spLocks noChangeArrowheads="1"/>
        </xdr:cNvSpPr>
      </xdr:nvSpPr>
      <xdr:spPr bwMode="auto">
        <a:xfrm>
          <a:off x="257175" y="19154775"/>
          <a:ext cx="1238250" cy="390525"/>
        </a:xfrm>
        <a:prstGeom prst="rect">
          <a:avLst/>
        </a:prstGeom>
        <a:noFill/>
        <a:ln w="19050">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editAs="oneCell">
    <xdr:from>
      <xdr:col>0</xdr:col>
      <xdr:colOff>66675</xdr:colOff>
      <xdr:row>3</xdr:row>
      <xdr:rowOff>57150</xdr:rowOff>
    </xdr:from>
    <xdr:to>
      <xdr:col>14</xdr:col>
      <xdr:colOff>504825</xdr:colOff>
      <xdr:row>35</xdr:row>
      <xdr:rowOff>38100</xdr:rowOff>
    </xdr:to>
    <xdr:pic>
      <xdr:nvPicPr>
        <xdr:cNvPr id="42789" name="Picture 1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6675" y="914400"/>
          <a:ext cx="8972550" cy="5162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38</xdr:row>
      <xdr:rowOff>19050</xdr:rowOff>
    </xdr:from>
    <xdr:to>
      <xdr:col>13</xdr:col>
      <xdr:colOff>28575</xdr:colOff>
      <xdr:row>68</xdr:row>
      <xdr:rowOff>133350</xdr:rowOff>
    </xdr:to>
    <xdr:pic>
      <xdr:nvPicPr>
        <xdr:cNvPr id="10" name="图片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581775"/>
          <a:ext cx="7953375" cy="4972050"/>
        </a:xfrm>
        <a:prstGeom prst="rect">
          <a:avLst/>
        </a:prstGeom>
        <a:noFill/>
        <a:ln>
          <a:solidFill>
            <a:schemeClr val="tx1">
              <a:alpha val="48000"/>
            </a:schemeClr>
          </a:solidFill>
        </a:ln>
        <a:effectLst>
          <a:innerShdw blurRad="63500" dist="50800" dir="2700000">
            <a:prstClr val="black">
              <a:alpha val="50000"/>
            </a:prstClr>
          </a:innerShdw>
        </a:effectLst>
        <a:scene3d>
          <a:camera prst="orthographicFront"/>
          <a:lightRig rig="threePt" dir="t"/>
        </a:scene3d>
        <a:sp3d extrusionH="76200">
          <a:extrusionClr>
            <a:schemeClr val="tx1"/>
          </a:extrusionClr>
        </a:sp3d>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438150</xdr:colOff>
          <xdr:row>0</xdr:row>
          <xdr:rowOff>57150</xdr:rowOff>
        </xdr:from>
        <xdr:to>
          <xdr:col>5</xdr:col>
          <xdr:colOff>542925</xdr:colOff>
          <xdr:row>1</xdr:row>
          <xdr:rowOff>152400</xdr:rowOff>
        </xdr:to>
        <xdr:sp macro="" textlink="">
          <xdr:nvSpPr>
            <xdr:cNvPr id="49153" name="CommandButton3" hidden="1">
              <a:extLst>
                <a:ext uri="{63B3BB69-23CF-44E3-9099-C40C66FF867C}">
                  <a14:compatExt spid="_x0000_s49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10.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image" Target="../media/image7.emf"/><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ontrol" Target="../activeX/activeX6.xml"/><Relationship Id="rId5" Type="http://schemas.openxmlformats.org/officeDocument/2006/relationships/image" Target="../media/image6.emf"/><Relationship Id="rId4" Type="http://schemas.openxmlformats.org/officeDocument/2006/relationships/control" Target="../activeX/activeX5.xml"/></Relationships>
</file>

<file path=xl/worksheets/_rels/sheet11.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image" Target="../media/image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8.xml"/><Relationship Id="rId5" Type="http://schemas.openxmlformats.org/officeDocument/2006/relationships/image" Target="../media/image8.emf"/><Relationship Id="rId4" Type="http://schemas.openxmlformats.org/officeDocument/2006/relationships/control" Target="../activeX/activeX7.xml"/></Relationships>
</file>

<file path=xl/worksheets/_rels/sheet12.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11.vml"/><Relationship Id="rId7" Type="http://schemas.openxmlformats.org/officeDocument/2006/relationships/image" Target="../media/image1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10.xml"/><Relationship Id="rId5" Type="http://schemas.openxmlformats.org/officeDocument/2006/relationships/image" Target="../media/image10.emf"/><Relationship Id="rId4" Type="http://schemas.openxmlformats.org/officeDocument/2006/relationships/control" Target="../activeX/activeX9.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12.vml"/><Relationship Id="rId7" Type="http://schemas.openxmlformats.org/officeDocument/2006/relationships/image" Target="../media/image13.emf"/><Relationship Id="rId2" Type="http://schemas.openxmlformats.org/officeDocument/2006/relationships/drawing" Target="../drawings/drawing7.xml"/><Relationship Id="rId1" Type="http://schemas.openxmlformats.org/officeDocument/2006/relationships/printerSettings" Target="../printerSettings/printerSettings12.bin"/><Relationship Id="rId6" Type="http://schemas.openxmlformats.org/officeDocument/2006/relationships/control" Target="../activeX/activeX12.xml"/><Relationship Id="rId5" Type="http://schemas.openxmlformats.org/officeDocument/2006/relationships/image" Target="../media/image12.emf"/><Relationship Id="rId4" Type="http://schemas.openxmlformats.org/officeDocument/2006/relationships/control" Target="../activeX/activeX11.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13.vml"/><Relationship Id="rId7" Type="http://schemas.openxmlformats.org/officeDocument/2006/relationships/image" Target="../media/image15.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14.xml"/><Relationship Id="rId5" Type="http://schemas.openxmlformats.org/officeDocument/2006/relationships/image" Target="../media/image14.emf"/><Relationship Id="rId4" Type="http://schemas.openxmlformats.org/officeDocument/2006/relationships/control" Target="../activeX/activeX13.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14.vml"/><Relationship Id="rId7" Type="http://schemas.openxmlformats.org/officeDocument/2006/relationships/image" Target="../media/image17.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16.xml"/><Relationship Id="rId5" Type="http://schemas.openxmlformats.org/officeDocument/2006/relationships/image" Target="../media/image16.emf"/><Relationship Id="rId4" Type="http://schemas.openxmlformats.org/officeDocument/2006/relationships/control" Target="../activeX/activeX15.xml"/></Relationships>
</file>

<file path=xl/worksheets/_rels/sheet16.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15.vml"/><Relationship Id="rId7" Type="http://schemas.openxmlformats.org/officeDocument/2006/relationships/image" Target="../media/image1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18.xml"/><Relationship Id="rId5" Type="http://schemas.openxmlformats.org/officeDocument/2006/relationships/image" Target="../media/image18.emf"/><Relationship Id="rId4" Type="http://schemas.openxmlformats.org/officeDocument/2006/relationships/control" Target="../activeX/activeX17.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6.bin"/><Relationship Id="rId5" Type="http://schemas.openxmlformats.org/officeDocument/2006/relationships/image" Target="../media/image20.emf"/><Relationship Id="rId4" Type="http://schemas.openxmlformats.org/officeDocument/2006/relationships/control" Target="../activeX/activeX1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7.vml"/><Relationship Id="rId1" Type="http://schemas.openxmlformats.org/officeDocument/2006/relationships/drawing" Target="../drawings/drawing13.xml"/><Relationship Id="rId4" Type="http://schemas.openxmlformats.org/officeDocument/2006/relationships/image" Target="../media/image25.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6"/>
  <sheetViews>
    <sheetView workbookViewId="0">
      <selection activeCell="H7" sqref="H7"/>
    </sheetView>
  </sheetViews>
  <sheetFormatPr defaultColWidth="10.28515625" defaultRowHeight="12" x14ac:dyDescent="0.15"/>
  <cols>
    <col min="1" max="1" width="3.5703125" style="2" customWidth="1"/>
    <col min="2" max="3" width="12.7109375" style="1" customWidth="1"/>
    <col min="4" max="4" width="31.7109375" style="2" customWidth="1"/>
    <col min="5" max="5" width="17.42578125" style="2" customWidth="1"/>
    <col min="6" max="6" width="23.140625" style="2" bestFit="1" customWidth="1"/>
    <col min="7" max="16384" width="10.28515625" style="2"/>
  </cols>
  <sheetData>
    <row r="3" spans="2:6" x14ac:dyDescent="0.15">
      <c r="F3" s="2" t="s">
        <v>5</v>
      </c>
    </row>
    <row r="4" spans="2:6" x14ac:dyDescent="0.15">
      <c r="F4" s="2" t="s">
        <v>39</v>
      </c>
    </row>
    <row r="5" spans="2:6" x14ac:dyDescent="0.15">
      <c r="F5" s="2" t="s">
        <v>0</v>
      </c>
    </row>
    <row r="6" spans="2:6" ht="15" customHeight="1" x14ac:dyDescent="0.15">
      <c r="B6" s="141" t="s">
        <v>38</v>
      </c>
      <c r="C6" s="141"/>
      <c r="D6" s="141"/>
      <c r="E6" s="141"/>
      <c r="F6" s="141"/>
    </row>
    <row r="8" spans="2:6" ht="14.25" x14ac:dyDescent="0.15">
      <c r="B8" s="139" t="s">
        <v>1</v>
      </c>
      <c r="C8" s="139"/>
      <c r="D8" s="139"/>
      <c r="E8" s="139"/>
      <c r="F8" s="139"/>
    </row>
    <row r="9" spans="2:6" ht="6.75" customHeight="1" x14ac:dyDescent="0.15">
      <c r="B9" s="140"/>
      <c r="C9" s="140"/>
      <c r="D9" s="140"/>
      <c r="E9" s="140"/>
      <c r="F9" s="140"/>
    </row>
    <row r="10" spans="2:6" x14ac:dyDescent="0.15">
      <c r="B10" s="3" t="s">
        <v>6</v>
      </c>
      <c r="C10" s="3" t="s">
        <v>7</v>
      </c>
      <c r="D10" s="4" t="s">
        <v>4</v>
      </c>
      <c r="E10" s="4" t="s">
        <v>2</v>
      </c>
      <c r="F10" s="4" t="s">
        <v>3</v>
      </c>
    </row>
    <row r="11" spans="2:6" x14ac:dyDescent="0.15">
      <c r="B11" s="5"/>
      <c r="C11" s="5"/>
      <c r="D11" s="6"/>
      <c r="E11" s="7"/>
      <c r="F11" s="6"/>
    </row>
    <row r="12" spans="2:6" x14ac:dyDescent="0.15">
      <c r="B12" s="5"/>
      <c r="C12" s="5"/>
      <c r="D12" s="6"/>
      <c r="E12" s="6"/>
      <c r="F12" s="6"/>
    </row>
    <row r="13" spans="2:6" x14ac:dyDescent="0.15">
      <c r="B13" s="5"/>
      <c r="C13" s="5"/>
      <c r="D13" s="6"/>
      <c r="E13" s="6"/>
      <c r="F13" s="6"/>
    </row>
    <row r="14" spans="2:6" x14ac:dyDescent="0.15">
      <c r="B14" s="5"/>
      <c r="C14" s="5"/>
      <c r="D14" s="6"/>
      <c r="E14" s="6"/>
      <c r="F14" s="6"/>
    </row>
    <row r="15" spans="2:6" x14ac:dyDescent="0.15">
      <c r="B15" s="5"/>
      <c r="C15" s="5"/>
      <c r="D15" s="6"/>
      <c r="E15" s="6"/>
      <c r="F15" s="6"/>
    </row>
    <row r="16" spans="2:6" x14ac:dyDescent="0.15">
      <c r="B16" s="5"/>
      <c r="C16" s="5"/>
      <c r="D16" s="6"/>
      <c r="E16" s="6"/>
      <c r="F16" s="6"/>
    </row>
    <row r="17" spans="2:6" x14ac:dyDescent="0.15">
      <c r="B17" s="5"/>
      <c r="C17" s="5"/>
      <c r="D17" s="6"/>
      <c r="E17" s="6"/>
      <c r="F17" s="6"/>
    </row>
    <row r="18" spans="2:6" x14ac:dyDescent="0.15">
      <c r="B18" s="5"/>
      <c r="C18" s="5"/>
      <c r="D18" s="6"/>
      <c r="E18" s="6"/>
      <c r="F18" s="6"/>
    </row>
    <row r="19" spans="2:6" x14ac:dyDescent="0.15">
      <c r="B19" s="5"/>
      <c r="C19" s="5"/>
      <c r="D19" s="6"/>
      <c r="E19" s="6"/>
      <c r="F19" s="6"/>
    </row>
    <row r="20" spans="2:6" x14ac:dyDescent="0.15">
      <c r="B20" s="5"/>
      <c r="C20" s="5"/>
      <c r="D20" s="6"/>
      <c r="E20" s="6"/>
      <c r="F20" s="6"/>
    </row>
    <row r="21" spans="2:6" x14ac:dyDescent="0.15">
      <c r="B21" s="5"/>
      <c r="C21" s="5"/>
      <c r="D21" s="6"/>
      <c r="E21" s="6"/>
      <c r="F21" s="6"/>
    </row>
    <row r="22" spans="2:6" x14ac:dyDescent="0.15">
      <c r="B22" s="5"/>
      <c r="C22" s="5"/>
      <c r="D22" s="6"/>
      <c r="E22" s="6"/>
      <c r="F22" s="6"/>
    </row>
    <row r="23" spans="2:6" x14ac:dyDescent="0.15">
      <c r="B23" s="5"/>
      <c r="C23" s="5"/>
      <c r="D23" s="6"/>
      <c r="E23" s="6"/>
      <c r="F23" s="6"/>
    </row>
    <row r="24" spans="2:6" x14ac:dyDescent="0.15">
      <c r="B24" s="5"/>
      <c r="C24" s="5"/>
      <c r="D24" s="6"/>
      <c r="E24" s="6"/>
      <c r="F24" s="6"/>
    </row>
    <row r="25" spans="2:6" x14ac:dyDescent="0.15">
      <c r="B25" s="5"/>
      <c r="C25" s="5"/>
      <c r="D25" s="6"/>
      <c r="E25" s="6"/>
      <c r="F25" s="6"/>
    </row>
    <row r="26" spans="2:6" x14ac:dyDescent="0.15">
      <c r="B26" s="5"/>
      <c r="C26" s="5"/>
      <c r="D26" s="6"/>
      <c r="E26" s="6"/>
      <c r="F26" s="6"/>
    </row>
  </sheetData>
  <mergeCells count="3">
    <mergeCell ref="B8:F8"/>
    <mergeCell ref="B9:F9"/>
    <mergeCell ref="B6:F6"/>
  </mergeCells>
  <phoneticPr fontId="1" type="noConversion"/>
  <pageMargins left="0.75" right="0.75" top="1" bottom="1" header="0.5" footer="0.5"/>
  <pageSetup paperSize="9" orientation="landscape" horizontalDpi="200" verticalDpi="200" r:id="rId1"/>
  <headerFooter alignWithMargins="0">
    <oddHeader xml:space="preserve">&amp;L&amp;G&amp;R
SF-120 &amp;"宋体,常规"需求跟踪矩阵&amp;"Arial,常规"
&amp;"宋体,常规"保密等级：内部使用级&amp;"Arial,常规"  
</oddHeader>
    <oddFooter>&amp;L&amp;"宋体,常规"版本号：&amp;"Arial,常规"V1.0
&amp;"宋体,常规"发布日期：&amp;"Arial,常规"2008&amp;"宋体,常规"年&amp;"Arial,常规"12&amp;"宋体,常规"月&amp;"Arial,常规"05&amp;"宋体,常规"日</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4"/>
  <sheetViews>
    <sheetView topLeftCell="A12" workbookViewId="0">
      <selection activeCell="A26" sqref="A26"/>
    </sheetView>
  </sheetViews>
  <sheetFormatPr defaultRowHeight="12.75" x14ac:dyDescent="0.2"/>
  <cols>
    <col min="1" max="1" width="24.28515625" customWidth="1"/>
    <col min="2" max="2" width="25" customWidth="1"/>
    <col min="3" max="3" width="24.85546875" customWidth="1"/>
    <col min="4" max="4" width="16.140625" customWidth="1"/>
    <col min="5" max="5" width="59.7109375" customWidth="1"/>
  </cols>
  <sheetData>
    <row r="1" spans="1:5" hidden="1" x14ac:dyDescent="0.2">
      <c r="A1" s="8" t="s">
        <v>10</v>
      </c>
    </row>
    <row r="2" spans="1:5" hidden="1" x14ac:dyDescent="0.2">
      <c r="A2" s="13" t="s">
        <v>9</v>
      </c>
    </row>
    <row r="3" spans="1:5" hidden="1" x14ac:dyDescent="0.2">
      <c r="A3" s="14" t="s">
        <v>11</v>
      </c>
    </row>
    <row r="4" spans="1:5" hidden="1" x14ac:dyDescent="0.2">
      <c r="A4" s="14" t="s">
        <v>8</v>
      </c>
    </row>
    <row r="5" spans="1:5" hidden="1" x14ac:dyDescent="0.2">
      <c r="A5" s="14" t="s">
        <v>12</v>
      </c>
    </row>
    <row r="6" spans="1:5" hidden="1" x14ac:dyDescent="0.2">
      <c r="A6" s="14" t="s">
        <v>13</v>
      </c>
    </row>
    <row r="8" spans="1:5" ht="24.75" x14ac:dyDescent="0.2">
      <c r="A8" s="35" t="s">
        <v>60</v>
      </c>
      <c r="B8" s="36"/>
    </row>
    <row r="10" spans="1:5" x14ac:dyDescent="0.2">
      <c r="A10" s="11" t="s">
        <v>14</v>
      </c>
      <c r="B10" s="11" t="s">
        <v>41</v>
      </c>
      <c r="C10" s="11" t="s">
        <v>15</v>
      </c>
      <c r="D10" s="17" t="s">
        <v>77</v>
      </c>
      <c r="E10" s="17" t="s">
        <v>76</v>
      </c>
    </row>
    <row r="11" spans="1:5" x14ac:dyDescent="0.2">
      <c r="A11" s="73" t="s">
        <v>160</v>
      </c>
      <c r="B11" s="12"/>
      <c r="C11" s="12">
        <v>42837</v>
      </c>
      <c r="D11" s="12"/>
      <c r="E11" s="42"/>
    </row>
    <row r="12" spans="1:5" x14ac:dyDescent="0.2">
      <c r="A12" s="73" t="s">
        <v>161</v>
      </c>
      <c r="B12" s="12"/>
      <c r="C12" s="12">
        <v>42908</v>
      </c>
      <c r="D12" s="12"/>
      <c r="E12" s="9"/>
    </row>
    <row r="13" spans="1:5" x14ac:dyDescent="0.2">
      <c r="A13" s="73" t="s">
        <v>162</v>
      </c>
      <c r="B13" s="12"/>
      <c r="C13" s="12">
        <v>42957</v>
      </c>
      <c r="D13" s="12"/>
      <c r="E13" s="9"/>
    </row>
    <row r="14" spans="1:5" x14ac:dyDescent="0.2">
      <c r="A14" s="111" t="s">
        <v>200</v>
      </c>
      <c r="B14" s="12"/>
      <c r="C14" s="12">
        <v>43052</v>
      </c>
      <c r="D14" s="12"/>
      <c r="E14" s="9"/>
    </row>
    <row r="15" spans="1:5" x14ac:dyDescent="0.2">
      <c r="A15" s="111" t="s">
        <v>201</v>
      </c>
      <c r="B15" s="15"/>
      <c r="C15" s="15"/>
      <c r="D15" s="9"/>
      <c r="E15" s="9"/>
    </row>
    <row r="16" spans="1:5" x14ac:dyDescent="0.2">
      <c r="A16" s="111" t="s">
        <v>202</v>
      </c>
      <c r="B16" s="15"/>
      <c r="C16" s="114">
        <v>42796</v>
      </c>
      <c r="D16" s="9"/>
      <c r="E16" s="9"/>
    </row>
    <row r="17" spans="1:5" x14ac:dyDescent="0.2">
      <c r="A17" s="113" t="s">
        <v>210</v>
      </c>
      <c r="B17" s="114">
        <v>43171</v>
      </c>
      <c r="C17" s="114">
        <v>43174</v>
      </c>
      <c r="D17" s="9"/>
      <c r="E17" s="9"/>
    </row>
    <row r="18" spans="1:5" x14ac:dyDescent="0.2">
      <c r="A18" s="119" t="s">
        <v>229</v>
      </c>
      <c r="B18" s="114">
        <v>43215</v>
      </c>
      <c r="C18" s="114">
        <v>43215</v>
      </c>
      <c r="D18" s="9"/>
      <c r="E18" s="9"/>
    </row>
    <row r="19" spans="1:5" x14ac:dyDescent="0.2">
      <c r="A19" s="120" t="s">
        <v>246</v>
      </c>
      <c r="B19" s="15"/>
      <c r="C19" s="15"/>
      <c r="D19" s="9"/>
      <c r="E19" s="9"/>
    </row>
    <row r="20" spans="1:5" x14ac:dyDescent="0.2">
      <c r="A20" s="128" t="s">
        <v>255</v>
      </c>
      <c r="B20" s="114">
        <v>43270</v>
      </c>
      <c r="C20" s="114">
        <v>43270</v>
      </c>
      <c r="D20" s="9"/>
      <c r="E20" s="9"/>
    </row>
    <row r="21" spans="1:5" x14ac:dyDescent="0.2">
      <c r="A21" s="128" t="s">
        <v>260</v>
      </c>
      <c r="B21" s="114">
        <v>43291</v>
      </c>
      <c r="C21" s="114">
        <v>43291</v>
      </c>
      <c r="D21" s="9"/>
      <c r="E21" s="9"/>
    </row>
    <row r="22" spans="1:5" x14ac:dyDescent="0.2">
      <c r="A22" s="128" t="s">
        <v>275</v>
      </c>
      <c r="B22" s="15"/>
      <c r="C22" s="15"/>
      <c r="D22" s="9"/>
      <c r="E22" s="9"/>
    </row>
    <row r="23" spans="1:5" x14ac:dyDescent="0.2">
      <c r="A23" s="128" t="s">
        <v>277</v>
      </c>
      <c r="B23" s="15"/>
      <c r="C23" s="15"/>
      <c r="D23" s="9"/>
      <c r="E23" s="9"/>
    </row>
    <row r="24" spans="1:5" x14ac:dyDescent="0.2">
      <c r="A24" s="128" t="s">
        <v>285</v>
      </c>
      <c r="B24" s="15"/>
      <c r="C24" s="15"/>
      <c r="D24" s="9"/>
      <c r="E24" s="9"/>
    </row>
    <row r="25" spans="1:5" x14ac:dyDescent="0.2">
      <c r="A25" s="128" t="s">
        <v>286</v>
      </c>
      <c r="B25" s="15"/>
      <c r="C25" s="15"/>
      <c r="D25" s="9"/>
      <c r="E25" s="9"/>
    </row>
    <row r="26" spans="1:5" x14ac:dyDescent="0.2">
      <c r="A26" s="15"/>
      <c r="B26" s="15"/>
      <c r="C26" s="15"/>
      <c r="D26" s="9"/>
      <c r="E26" s="9"/>
    </row>
    <row r="27" spans="1:5" x14ac:dyDescent="0.2">
      <c r="A27" s="15"/>
      <c r="B27" s="15"/>
      <c r="C27" s="15"/>
      <c r="D27" s="9"/>
      <c r="E27" s="9"/>
    </row>
    <row r="28" spans="1:5" x14ac:dyDescent="0.2">
      <c r="A28" s="15"/>
      <c r="B28" s="15"/>
      <c r="C28" s="15"/>
      <c r="D28" s="9"/>
      <c r="E28" s="9"/>
    </row>
    <row r="29" spans="1:5" x14ac:dyDescent="0.2">
      <c r="A29" s="15"/>
      <c r="B29" s="15"/>
      <c r="C29" s="15"/>
      <c r="D29" s="9"/>
      <c r="E29" s="9"/>
    </row>
    <row r="30" spans="1:5" x14ac:dyDescent="0.2">
      <c r="A30" s="15"/>
      <c r="B30" s="15"/>
      <c r="C30" s="15"/>
      <c r="D30" s="9"/>
      <c r="E30" s="9"/>
    </row>
    <row r="31" spans="1:5" x14ac:dyDescent="0.2">
      <c r="A31" s="15"/>
      <c r="B31" s="15"/>
      <c r="C31" s="15"/>
      <c r="D31" s="9"/>
      <c r="E31" s="9"/>
    </row>
    <row r="32" spans="1:5" x14ac:dyDescent="0.2">
      <c r="A32" s="15"/>
      <c r="B32" s="15"/>
      <c r="C32" s="15"/>
      <c r="D32" s="9"/>
      <c r="E32" s="9"/>
    </row>
    <row r="33" spans="1:5" x14ac:dyDescent="0.2">
      <c r="A33" s="15"/>
      <c r="B33" s="15"/>
      <c r="C33" s="15"/>
      <c r="D33" s="9"/>
      <c r="E33" s="9"/>
    </row>
    <row r="34" spans="1:5" x14ac:dyDescent="0.2">
      <c r="A34" s="15"/>
      <c r="B34" s="15"/>
      <c r="C34" s="15"/>
      <c r="D34" s="9"/>
      <c r="E34" s="9"/>
    </row>
    <row r="35" spans="1:5" x14ac:dyDescent="0.2">
      <c r="A35" s="15"/>
      <c r="B35" s="15"/>
      <c r="C35" s="15"/>
      <c r="D35" s="9"/>
      <c r="E35" s="9"/>
    </row>
    <row r="36" spans="1:5" x14ac:dyDescent="0.2">
      <c r="A36" s="15"/>
      <c r="B36" s="15"/>
      <c r="C36" s="15"/>
      <c r="D36" s="9"/>
      <c r="E36" s="9"/>
    </row>
    <row r="37" spans="1:5" x14ac:dyDescent="0.2">
      <c r="A37" s="15"/>
      <c r="B37" s="15"/>
      <c r="C37" s="15"/>
      <c r="D37" s="9"/>
      <c r="E37" s="9"/>
    </row>
    <row r="38" spans="1:5" x14ac:dyDescent="0.2">
      <c r="A38" s="15"/>
      <c r="B38" s="15"/>
      <c r="C38" s="15"/>
      <c r="D38" s="9"/>
      <c r="E38" s="9"/>
    </row>
    <row r="39" spans="1:5" x14ac:dyDescent="0.2">
      <c r="A39" s="15"/>
      <c r="B39" s="15"/>
      <c r="C39" s="15"/>
      <c r="D39" s="9"/>
      <c r="E39" s="9"/>
    </row>
    <row r="40" spans="1:5" x14ac:dyDescent="0.2">
      <c r="A40" s="15"/>
      <c r="B40" s="15"/>
      <c r="C40" s="15"/>
      <c r="D40" s="9"/>
      <c r="E40" s="9"/>
    </row>
    <row r="41" spans="1:5" x14ac:dyDescent="0.2">
      <c r="A41" s="15"/>
      <c r="B41" s="15"/>
      <c r="C41" s="15"/>
      <c r="D41" s="9"/>
      <c r="E41" s="9"/>
    </row>
    <row r="42" spans="1:5" x14ac:dyDescent="0.2">
      <c r="A42" s="15"/>
      <c r="B42" s="15"/>
      <c r="C42" s="15"/>
      <c r="D42" s="9"/>
      <c r="E42" s="9"/>
    </row>
    <row r="43" spans="1:5" x14ac:dyDescent="0.2">
      <c r="A43" s="15"/>
      <c r="B43" s="15"/>
      <c r="C43" s="15"/>
      <c r="D43" s="9"/>
      <c r="E43" s="9"/>
    </row>
    <row r="44" spans="1:5" x14ac:dyDescent="0.2">
      <c r="A44" s="15"/>
      <c r="B44" s="15"/>
      <c r="C44" s="15"/>
      <c r="D44" s="9"/>
      <c r="E44" s="9"/>
    </row>
  </sheetData>
  <phoneticPr fontId="1" type="noConversion"/>
  <pageMargins left="0.75" right="0.75" top="1" bottom="1" header="0.5" footer="0.5"/>
  <pageSetup paperSize="9"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5"/>
  <sheetViews>
    <sheetView topLeftCell="E2" workbookViewId="0">
      <selection activeCell="O17" sqref="O17"/>
    </sheetView>
  </sheetViews>
  <sheetFormatPr defaultRowHeight="12.75" x14ac:dyDescent="0.2"/>
  <cols>
    <col min="1" max="1" width="20.140625" bestFit="1" customWidth="1"/>
    <col min="2" max="2" width="13.7109375" customWidth="1"/>
    <col min="3" max="3" width="37.42578125" customWidth="1"/>
    <col min="4" max="4" width="44.85546875" customWidth="1"/>
    <col min="5" max="5" width="11.85546875" bestFit="1" customWidth="1"/>
    <col min="6" max="6" width="9.7109375" bestFit="1" customWidth="1"/>
    <col min="7" max="7" width="12.140625" customWidth="1"/>
    <col min="8" max="8" width="11.5703125" customWidth="1"/>
    <col min="9" max="9" width="10.5703125" customWidth="1"/>
    <col min="10" max="10" width="9" customWidth="1"/>
    <col min="11" max="11" width="18.85546875" customWidth="1"/>
    <col min="12" max="12" width="10.42578125" customWidth="1"/>
    <col min="13" max="13" width="10.5703125" customWidth="1"/>
    <col min="14" max="14" width="17.42578125" customWidth="1"/>
    <col min="15" max="15" width="11" customWidth="1"/>
    <col min="16" max="16" width="11.28515625" customWidth="1"/>
    <col min="17" max="17" width="32.5703125" customWidth="1"/>
  </cols>
  <sheetData>
    <row r="1" spans="1:18" ht="110.25" hidden="1" customHeight="1" x14ac:dyDescent="0.2">
      <c r="A1" s="142" t="s">
        <v>40</v>
      </c>
      <c r="B1" s="142"/>
      <c r="C1" s="142"/>
    </row>
    <row r="2" spans="1:18" ht="14.25" customHeight="1" x14ac:dyDescent="0.2">
      <c r="A2" s="143" t="s">
        <v>42</v>
      </c>
      <c r="B2" s="143"/>
      <c r="C2" s="143"/>
    </row>
    <row r="3" spans="1:18" s="10" customFormat="1" ht="24.75" x14ac:dyDescent="0.2">
      <c r="A3" s="29" t="s">
        <v>43</v>
      </c>
      <c r="B3" s="29" t="s">
        <v>45</v>
      </c>
      <c r="C3" s="29" t="s">
        <v>47</v>
      </c>
      <c r="D3" s="29" t="s">
        <v>101</v>
      </c>
      <c r="E3" s="29" t="s">
        <v>102</v>
      </c>
      <c r="F3" s="29" t="s">
        <v>121</v>
      </c>
      <c r="G3" s="29" t="s">
        <v>103</v>
      </c>
      <c r="H3" s="29" t="s">
        <v>104</v>
      </c>
      <c r="I3" s="17" t="s">
        <v>122</v>
      </c>
      <c r="J3" s="17" t="s">
        <v>105</v>
      </c>
      <c r="K3" s="17" t="s">
        <v>106</v>
      </c>
      <c r="L3" s="17" t="s">
        <v>107</v>
      </c>
      <c r="M3" s="17" t="s">
        <v>108</v>
      </c>
      <c r="N3" s="17" t="s">
        <v>109</v>
      </c>
      <c r="O3" s="17" t="s">
        <v>110</v>
      </c>
      <c r="P3" s="17" t="s">
        <v>111</v>
      </c>
      <c r="Q3" s="17" t="s">
        <v>112</v>
      </c>
      <c r="R3" s="17" t="s">
        <v>159</v>
      </c>
    </row>
    <row r="4" spans="1:18" x14ac:dyDescent="0.2">
      <c r="A4" s="21" t="s">
        <v>176</v>
      </c>
      <c r="B4" s="26">
        <v>42888</v>
      </c>
      <c r="C4" s="28" t="s">
        <v>177</v>
      </c>
      <c r="D4" s="72" t="s">
        <v>156</v>
      </c>
      <c r="E4" s="21" t="s">
        <v>157</v>
      </c>
      <c r="F4" s="21" t="s">
        <v>158</v>
      </c>
      <c r="G4" s="26"/>
      <c r="H4" s="21"/>
      <c r="I4" s="9" t="s">
        <v>178</v>
      </c>
      <c r="J4" s="48"/>
      <c r="K4" s="9"/>
      <c r="L4" s="9"/>
      <c r="M4" s="9">
        <v>6</v>
      </c>
      <c r="N4" s="9" t="s">
        <v>195</v>
      </c>
      <c r="O4" s="75" t="s">
        <v>174</v>
      </c>
      <c r="P4" s="22"/>
      <c r="Q4" s="22"/>
      <c r="R4">
        <v>17700</v>
      </c>
    </row>
    <row r="5" spans="1:18" x14ac:dyDescent="0.2">
      <c r="A5" s="21" t="s">
        <v>169</v>
      </c>
      <c r="B5" s="26">
        <v>42877</v>
      </c>
      <c r="C5" s="28" t="s">
        <v>163</v>
      </c>
      <c r="D5" s="21"/>
      <c r="E5" s="21" t="s">
        <v>165</v>
      </c>
      <c r="F5" s="21" t="s">
        <v>167</v>
      </c>
      <c r="G5" s="26"/>
      <c r="H5" s="21"/>
      <c r="I5" s="9" t="s">
        <v>178</v>
      </c>
      <c r="J5" s="48"/>
      <c r="K5" s="9"/>
      <c r="L5" s="9"/>
      <c r="M5" s="9"/>
      <c r="N5" s="9" t="s">
        <v>172</v>
      </c>
      <c r="O5" s="75" t="s">
        <v>174</v>
      </c>
      <c r="P5" s="22"/>
      <c r="Q5" s="22"/>
      <c r="R5">
        <v>9150</v>
      </c>
    </row>
    <row r="6" spans="1:18" x14ac:dyDescent="0.2">
      <c r="A6" s="21" t="s">
        <v>170</v>
      </c>
      <c r="B6" s="26">
        <v>42873</v>
      </c>
      <c r="C6" s="76" t="s">
        <v>175</v>
      </c>
      <c r="D6" s="74" t="s">
        <v>171</v>
      </c>
      <c r="E6" s="21" t="s">
        <v>165</v>
      </c>
      <c r="F6" s="21" t="s">
        <v>167</v>
      </c>
      <c r="G6" s="26"/>
      <c r="H6" s="21"/>
      <c r="I6" s="9"/>
      <c r="J6" s="48"/>
      <c r="K6" s="9"/>
      <c r="L6" s="9"/>
      <c r="M6" s="9"/>
      <c r="N6" s="9"/>
      <c r="O6" s="75" t="s">
        <v>174</v>
      </c>
      <c r="P6" s="9"/>
      <c r="Q6" s="75" t="s">
        <v>173</v>
      </c>
      <c r="R6">
        <v>0</v>
      </c>
    </row>
    <row r="7" spans="1:18" ht="13.5" customHeight="1" x14ac:dyDescent="0.2">
      <c r="A7" s="21" t="s">
        <v>199</v>
      </c>
      <c r="B7" s="26">
        <v>43024</v>
      </c>
      <c r="C7" s="112" t="s">
        <v>203</v>
      </c>
      <c r="D7" s="112" t="s">
        <v>203</v>
      </c>
      <c r="E7" s="21" t="s">
        <v>157</v>
      </c>
      <c r="F7" s="21" t="s">
        <v>158</v>
      </c>
      <c r="G7" s="26"/>
      <c r="H7" s="21"/>
      <c r="I7" s="9" t="s">
        <v>178</v>
      </c>
      <c r="J7" s="48"/>
      <c r="K7" s="9"/>
      <c r="L7" s="9"/>
      <c r="M7" s="9"/>
      <c r="N7" s="9" t="s">
        <v>204</v>
      </c>
      <c r="O7" s="75" t="s">
        <v>174</v>
      </c>
      <c r="P7" s="22"/>
      <c r="Q7" s="22"/>
      <c r="R7">
        <v>41650</v>
      </c>
    </row>
    <row r="8" spans="1:18" ht="63" x14ac:dyDescent="0.2">
      <c r="A8" s="21" t="s">
        <v>209</v>
      </c>
      <c r="B8" s="26">
        <v>43119</v>
      </c>
      <c r="C8" s="115" t="s">
        <v>213</v>
      </c>
      <c r="D8" s="10" t="s">
        <v>213</v>
      </c>
      <c r="E8" s="21" t="s">
        <v>157</v>
      </c>
      <c r="F8" s="21" t="s">
        <v>158</v>
      </c>
      <c r="G8" s="26"/>
      <c r="H8" s="21"/>
      <c r="I8" s="9" t="s">
        <v>178</v>
      </c>
      <c r="J8" s="48"/>
      <c r="K8" s="9"/>
      <c r="L8" s="9"/>
      <c r="M8" s="9"/>
      <c r="N8" s="9" t="s">
        <v>211</v>
      </c>
      <c r="O8" s="22" t="s">
        <v>212</v>
      </c>
      <c r="P8" s="22"/>
      <c r="Q8" s="9"/>
    </row>
    <row r="9" spans="1:18" x14ac:dyDescent="0.2">
      <c r="A9" s="21" t="s">
        <v>218</v>
      </c>
      <c r="B9" s="26">
        <v>43189</v>
      </c>
      <c r="C9" s="116" t="s">
        <v>220</v>
      </c>
      <c r="D9" s="116" t="s">
        <v>220</v>
      </c>
      <c r="E9" s="56" t="s">
        <v>219</v>
      </c>
      <c r="F9" s="56" t="s">
        <v>158</v>
      </c>
      <c r="G9" s="26"/>
      <c r="H9" s="28"/>
      <c r="I9" s="9" t="s">
        <v>178</v>
      </c>
      <c r="J9" s="48"/>
      <c r="K9" s="9"/>
      <c r="L9" s="9"/>
      <c r="M9" s="9"/>
      <c r="N9" s="9" t="s">
        <v>230</v>
      </c>
      <c r="O9" s="75" t="s">
        <v>174</v>
      </c>
      <c r="P9" s="22"/>
      <c r="Q9" s="22"/>
    </row>
    <row r="10" spans="1:18" x14ac:dyDescent="0.2">
      <c r="A10" s="21" t="s">
        <v>243</v>
      </c>
      <c r="B10" s="26">
        <v>43188</v>
      </c>
      <c r="C10" s="117" t="s">
        <v>226</v>
      </c>
      <c r="D10" s="117" t="s">
        <v>226</v>
      </c>
      <c r="E10" s="21" t="s">
        <v>227</v>
      </c>
      <c r="F10" s="21" t="s">
        <v>224</v>
      </c>
      <c r="G10" s="26"/>
      <c r="H10" s="21"/>
      <c r="I10" s="9" t="s">
        <v>178</v>
      </c>
      <c r="J10" s="48"/>
      <c r="K10" s="9"/>
      <c r="L10" s="9"/>
      <c r="M10" s="9"/>
      <c r="N10" s="9" t="s">
        <v>230</v>
      </c>
      <c r="O10" s="75" t="s">
        <v>174</v>
      </c>
      <c r="P10" s="9"/>
      <c r="Q10" s="9"/>
    </row>
    <row r="11" spans="1:18" ht="13.5" customHeight="1" x14ac:dyDescent="0.2">
      <c r="A11" s="21" t="s">
        <v>243</v>
      </c>
      <c r="B11" s="26">
        <v>43192</v>
      </c>
      <c r="C11" s="116" t="s">
        <v>221</v>
      </c>
      <c r="D11" s="116" t="s">
        <v>221</v>
      </c>
      <c r="E11" s="21" t="s">
        <v>225</v>
      </c>
      <c r="F11" s="21" t="s">
        <v>224</v>
      </c>
      <c r="G11" s="26"/>
      <c r="H11" s="21"/>
      <c r="I11" s="9" t="s">
        <v>178</v>
      </c>
      <c r="J11" s="48"/>
      <c r="K11" s="9"/>
      <c r="L11" s="9"/>
      <c r="M11" s="9"/>
      <c r="N11" s="9" t="s">
        <v>247</v>
      </c>
      <c r="O11" s="75" t="s">
        <v>174</v>
      </c>
      <c r="P11" s="9"/>
      <c r="Q11" s="9"/>
    </row>
    <row r="12" spans="1:18" ht="13.5" customHeight="1" x14ac:dyDescent="0.2">
      <c r="A12" s="21" t="s">
        <v>243</v>
      </c>
      <c r="B12" s="26">
        <v>43199</v>
      </c>
      <c r="C12" s="117" t="s">
        <v>222</v>
      </c>
      <c r="D12" s="117" t="s">
        <v>222</v>
      </c>
      <c r="E12" s="118" t="s">
        <v>223</v>
      </c>
      <c r="F12" s="118" t="s">
        <v>224</v>
      </c>
      <c r="G12" s="26"/>
      <c r="H12" s="21"/>
      <c r="I12" s="9" t="s">
        <v>178</v>
      </c>
      <c r="J12" s="48"/>
      <c r="K12" s="9"/>
      <c r="L12" s="9"/>
      <c r="M12" s="9"/>
      <c r="N12" s="9" t="s">
        <v>230</v>
      </c>
      <c r="O12" s="75" t="s">
        <v>174</v>
      </c>
      <c r="P12" s="22"/>
      <c r="Q12" s="22"/>
    </row>
    <row r="13" spans="1:18" x14ac:dyDescent="0.2">
      <c r="A13" s="21" t="s">
        <v>243</v>
      </c>
      <c r="B13" s="26">
        <v>43203</v>
      </c>
      <c r="C13" s="117" t="s">
        <v>228</v>
      </c>
      <c r="D13" s="117" t="s">
        <v>228</v>
      </c>
      <c r="E13" s="118" t="s">
        <v>219</v>
      </c>
      <c r="F13" s="118" t="s">
        <v>158</v>
      </c>
      <c r="G13" s="26"/>
      <c r="H13" s="21"/>
      <c r="I13" s="9" t="s">
        <v>178</v>
      </c>
      <c r="J13" s="48"/>
      <c r="K13" s="9"/>
      <c r="L13" s="9"/>
      <c r="M13" s="9"/>
      <c r="N13" s="9" t="s">
        <v>230</v>
      </c>
      <c r="O13" s="75" t="s">
        <v>174</v>
      </c>
      <c r="P13" s="22"/>
      <c r="Q13" s="22"/>
    </row>
    <row r="14" spans="1:18" ht="13.5" x14ac:dyDescent="0.2">
      <c r="A14" s="129" t="s">
        <v>243</v>
      </c>
      <c r="B14" s="26">
        <v>43270</v>
      </c>
      <c r="C14" s="130" t="s">
        <v>257</v>
      </c>
      <c r="D14" s="130" t="s">
        <v>257</v>
      </c>
      <c r="E14" s="54"/>
      <c r="F14" s="54"/>
      <c r="G14" s="26"/>
      <c r="H14" s="21"/>
      <c r="I14" s="9" t="s">
        <v>178</v>
      </c>
      <c r="J14" s="48"/>
      <c r="K14" s="9"/>
      <c r="L14" s="9"/>
      <c r="M14" s="9"/>
      <c r="N14" s="9" t="s">
        <v>254</v>
      </c>
      <c r="O14" s="131" t="s">
        <v>258</v>
      </c>
      <c r="P14" s="22"/>
      <c r="Q14" s="22"/>
    </row>
    <row r="15" spans="1:18" x14ac:dyDescent="0.2">
      <c r="A15" s="21" t="s">
        <v>267</v>
      </c>
      <c r="B15" s="26">
        <v>43239</v>
      </c>
      <c r="C15" s="137" t="s">
        <v>264</v>
      </c>
      <c r="D15" s="21" t="s">
        <v>265</v>
      </c>
      <c r="E15" s="136" t="s">
        <v>262</v>
      </c>
      <c r="F15" s="136" t="s">
        <v>263</v>
      </c>
      <c r="G15" s="26"/>
      <c r="H15" s="21"/>
      <c r="I15" s="9" t="s">
        <v>178</v>
      </c>
      <c r="J15" s="48"/>
      <c r="K15" s="9"/>
      <c r="L15" s="9"/>
      <c r="M15" s="9"/>
      <c r="N15" s="9" t="s">
        <v>259</v>
      </c>
      <c r="O15" s="131" t="s">
        <v>258</v>
      </c>
      <c r="P15" s="9"/>
      <c r="Q15" s="9"/>
    </row>
    <row r="16" spans="1:18" ht="13.5" customHeight="1" x14ac:dyDescent="0.2">
      <c r="A16" s="21" t="s">
        <v>273</v>
      </c>
      <c r="B16" s="26">
        <v>43391</v>
      </c>
      <c r="C16" s="192" t="s">
        <v>272</v>
      </c>
      <c r="D16" s="192" t="s">
        <v>272</v>
      </c>
      <c r="E16" s="193" t="s">
        <v>274</v>
      </c>
      <c r="F16" s="136" t="s">
        <v>263</v>
      </c>
      <c r="G16" s="26"/>
      <c r="H16" s="21"/>
      <c r="I16" s="9" t="s">
        <v>178</v>
      </c>
      <c r="J16" s="48"/>
      <c r="K16" s="9"/>
      <c r="L16" s="9"/>
      <c r="M16" s="9"/>
      <c r="N16" s="9" t="s">
        <v>284</v>
      </c>
      <c r="O16" s="194" t="s">
        <v>287</v>
      </c>
      <c r="P16" s="9"/>
      <c r="Q16" s="9"/>
    </row>
    <row r="17" spans="1:17" ht="13.5" customHeight="1" x14ac:dyDescent="0.2">
      <c r="A17" s="21" t="s">
        <v>279</v>
      </c>
      <c r="B17" s="26">
        <v>43347</v>
      </c>
      <c r="C17" s="192" t="s">
        <v>281</v>
      </c>
      <c r="D17" s="192" t="s">
        <v>281</v>
      </c>
      <c r="E17" s="193" t="s">
        <v>282</v>
      </c>
      <c r="F17" s="136" t="s">
        <v>263</v>
      </c>
      <c r="G17" s="26"/>
      <c r="H17" s="21"/>
      <c r="I17" s="9" t="s">
        <v>178</v>
      </c>
      <c r="J17" s="48"/>
      <c r="K17" s="22"/>
      <c r="L17" s="9"/>
      <c r="M17" s="9"/>
      <c r="N17" s="9" t="s">
        <v>276</v>
      </c>
      <c r="O17" s="194" t="s">
        <v>283</v>
      </c>
      <c r="P17" s="9"/>
      <c r="Q17" s="22"/>
    </row>
    <row r="18" spans="1:17" ht="13.5" customHeight="1" x14ac:dyDescent="0.2">
      <c r="A18" s="21"/>
      <c r="B18" s="26"/>
      <c r="C18" s="21"/>
      <c r="D18" s="21"/>
      <c r="E18" s="21"/>
      <c r="F18" s="21"/>
      <c r="G18" s="26"/>
      <c r="H18" s="21"/>
      <c r="I18" s="9"/>
      <c r="J18" s="48"/>
      <c r="K18" s="9"/>
      <c r="L18" s="9"/>
      <c r="M18" s="9"/>
      <c r="N18" s="9"/>
      <c r="O18" s="22"/>
      <c r="P18" s="22"/>
      <c r="Q18" s="22"/>
    </row>
    <row r="19" spans="1:17" ht="13.5" customHeight="1" x14ac:dyDescent="0.2">
      <c r="A19" s="21"/>
      <c r="B19" s="26"/>
      <c r="C19" s="21"/>
      <c r="D19" s="21"/>
      <c r="E19" s="54"/>
      <c r="F19" s="54"/>
      <c r="G19" s="26"/>
      <c r="H19" s="21"/>
      <c r="I19" s="9"/>
      <c r="J19" s="48"/>
      <c r="K19" s="9"/>
      <c r="L19" s="9"/>
      <c r="M19" s="9"/>
      <c r="N19" s="9"/>
      <c r="O19" s="22"/>
      <c r="P19" s="22"/>
      <c r="Q19" s="22"/>
    </row>
    <row r="20" spans="1:17" ht="13.5" customHeight="1" x14ac:dyDescent="0.2">
      <c r="A20" s="21"/>
      <c r="B20" s="26"/>
      <c r="C20" s="21"/>
      <c r="D20" s="21"/>
      <c r="E20" s="28"/>
      <c r="F20" s="28"/>
      <c r="G20" s="26"/>
      <c r="H20" s="21"/>
      <c r="I20" s="9"/>
      <c r="J20" s="48"/>
      <c r="K20" s="9"/>
      <c r="L20" s="9"/>
      <c r="M20" s="9"/>
      <c r="N20" s="9"/>
      <c r="O20" s="22"/>
      <c r="P20" s="22"/>
      <c r="Q20" s="22"/>
    </row>
    <row r="21" spans="1:17" ht="13.5" customHeight="1" x14ac:dyDescent="0.2">
      <c r="A21" s="21"/>
      <c r="B21" s="26"/>
      <c r="C21" s="21"/>
      <c r="D21" s="21"/>
      <c r="E21" s="54"/>
      <c r="F21" s="54"/>
      <c r="G21" s="26"/>
      <c r="H21" s="28"/>
      <c r="I21" s="9"/>
      <c r="J21" s="48"/>
      <c r="K21" s="9"/>
      <c r="L21" s="9"/>
      <c r="M21" s="9"/>
      <c r="N21" s="9"/>
      <c r="O21" s="22"/>
      <c r="P21" s="22"/>
      <c r="Q21" s="22"/>
    </row>
    <row r="22" spans="1:17" ht="13.5" customHeight="1" x14ac:dyDescent="0.2">
      <c r="A22" s="21"/>
      <c r="B22" s="26"/>
      <c r="C22" s="21"/>
      <c r="D22" s="21"/>
      <c r="E22" s="54"/>
      <c r="F22" s="54"/>
      <c r="G22" s="26"/>
      <c r="H22" s="21"/>
      <c r="I22" s="9"/>
      <c r="J22" s="48"/>
      <c r="K22" s="22"/>
      <c r="L22" s="9"/>
      <c r="M22" s="9"/>
      <c r="N22" s="9"/>
      <c r="O22" s="22"/>
      <c r="P22" s="22"/>
      <c r="Q22" s="22"/>
    </row>
    <row r="23" spans="1:17" ht="13.5" customHeight="1" x14ac:dyDescent="0.2">
      <c r="A23" s="21"/>
      <c r="B23" s="26"/>
      <c r="C23" s="21"/>
      <c r="D23" s="21"/>
      <c r="E23" s="28"/>
      <c r="F23" s="28"/>
      <c r="G23" s="26"/>
      <c r="H23" s="21"/>
      <c r="I23" s="9"/>
      <c r="J23" s="48"/>
      <c r="K23" s="9"/>
      <c r="L23" s="9"/>
      <c r="M23" s="9"/>
      <c r="N23" s="9"/>
      <c r="O23" s="9"/>
      <c r="P23" s="22"/>
      <c r="Q23" s="22"/>
    </row>
    <row r="24" spans="1:17" ht="13.5" customHeight="1" x14ac:dyDescent="0.2">
      <c r="A24" s="21"/>
      <c r="B24" s="26"/>
      <c r="C24" s="21"/>
      <c r="D24" s="21"/>
      <c r="E24" s="28"/>
      <c r="F24" s="28"/>
      <c r="G24" s="26"/>
      <c r="H24" s="21"/>
      <c r="I24" s="9"/>
      <c r="J24" s="48"/>
      <c r="K24" s="9"/>
      <c r="L24" s="9"/>
      <c r="M24" s="9"/>
      <c r="N24" s="9"/>
      <c r="O24" s="22"/>
      <c r="P24" s="9"/>
      <c r="Q24" s="22"/>
    </row>
    <row r="25" spans="1:17" ht="13.5" customHeight="1" x14ac:dyDescent="0.2">
      <c r="A25" s="21"/>
      <c r="B25" s="26"/>
      <c r="C25" s="21"/>
      <c r="D25" s="21"/>
      <c r="E25" s="28"/>
      <c r="F25" s="28"/>
      <c r="G25" s="26"/>
      <c r="H25" s="21"/>
      <c r="I25" s="9"/>
      <c r="J25" s="48"/>
      <c r="K25" s="22"/>
      <c r="L25" s="9"/>
      <c r="M25" s="9"/>
      <c r="N25" s="9"/>
      <c r="O25" s="9"/>
      <c r="P25" s="22"/>
      <c r="Q25" s="22"/>
    </row>
    <row r="26" spans="1:17" ht="13.5" customHeight="1" x14ac:dyDescent="0.2">
      <c r="A26" s="21"/>
      <c r="B26" s="26"/>
      <c r="C26" s="21"/>
      <c r="D26" s="21"/>
      <c r="E26" s="28"/>
      <c r="F26" s="28"/>
      <c r="G26" s="26"/>
      <c r="H26" s="21"/>
      <c r="I26" s="9"/>
      <c r="J26" s="48"/>
      <c r="K26" s="9"/>
      <c r="L26" s="9"/>
      <c r="M26" s="9"/>
      <c r="N26" s="9"/>
      <c r="O26" s="22"/>
      <c r="P26" s="22"/>
      <c r="Q26" s="9"/>
    </row>
    <row r="27" spans="1:17" x14ac:dyDescent="0.2">
      <c r="A27" s="21"/>
      <c r="B27" s="26"/>
      <c r="C27" s="21"/>
      <c r="D27" s="21"/>
      <c r="E27" s="28"/>
      <c r="F27" s="28"/>
      <c r="G27" s="25"/>
      <c r="H27" s="21"/>
      <c r="I27" s="9"/>
      <c r="J27" s="48"/>
      <c r="K27" s="9"/>
      <c r="L27" s="9"/>
      <c r="M27" s="9"/>
      <c r="N27" s="9"/>
      <c r="O27" s="9"/>
      <c r="P27" s="22"/>
      <c r="Q27" s="22"/>
    </row>
    <row r="28" spans="1:17" x14ac:dyDescent="0.2">
      <c r="A28" s="21"/>
      <c r="B28" s="26"/>
      <c r="C28" s="21"/>
      <c r="D28" s="21"/>
      <c r="E28" s="54"/>
      <c r="F28" s="54"/>
      <c r="G28" s="25"/>
      <c r="H28" s="21"/>
      <c r="I28" s="9"/>
      <c r="J28" s="48"/>
      <c r="K28" s="9"/>
      <c r="L28" s="9"/>
      <c r="M28" s="9"/>
      <c r="N28" s="9"/>
      <c r="O28" s="9"/>
      <c r="P28" s="9"/>
      <c r="Q28" s="9"/>
    </row>
    <row r="29" spans="1:17" x14ac:dyDescent="0.2">
      <c r="A29" s="21"/>
      <c r="B29" s="26"/>
      <c r="C29" s="21"/>
      <c r="D29" s="21"/>
      <c r="E29" s="28"/>
      <c r="F29" s="28"/>
      <c r="G29" s="26"/>
      <c r="H29" s="21"/>
      <c r="I29" s="9"/>
      <c r="J29" s="48"/>
      <c r="K29" s="9"/>
      <c r="L29" s="9"/>
      <c r="M29" s="9"/>
      <c r="N29" s="9"/>
      <c r="O29" s="9"/>
      <c r="P29" s="9"/>
      <c r="Q29" s="9"/>
    </row>
    <row r="30" spans="1:17" x14ac:dyDescent="0.2">
      <c r="A30" s="21"/>
      <c r="B30" s="26"/>
      <c r="C30" s="21"/>
      <c r="D30" s="21"/>
      <c r="E30" s="28"/>
      <c r="F30" s="28"/>
      <c r="G30" s="25"/>
      <c r="H30" s="21"/>
      <c r="I30" s="9"/>
      <c r="J30" s="48"/>
      <c r="K30" s="9"/>
      <c r="L30" s="9"/>
      <c r="M30" s="9"/>
      <c r="N30" s="9"/>
      <c r="O30" s="9"/>
      <c r="P30" s="9"/>
      <c r="Q30" s="9"/>
    </row>
    <row r="31" spans="1:17" x14ac:dyDescent="0.2">
      <c r="A31" s="21"/>
      <c r="B31" s="26"/>
      <c r="C31" s="21"/>
      <c r="D31" s="21"/>
      <c r="E31" s="28"/>
      <c r="F31" s="28"/>
      <c r="G31" s="25"/>
      <c r="H31" s="21"/>
      <c r="I31" s="9"/>
      <c r="J31" s="48"/>
      <c r="K31" s="9"/>
      <c r="L31" s="9"/>
      <c r="M31" s="9"/>
      <c r="N31" s="9"/>
      <c r="O31" s="9"/>
      <c r="P31" s="9"/>
      <c r="Q31" s="22"/>
    </row>
    <row r="32" spans="1:17" x14ac:dyDescent="0.2">
      <c r="A32" s="21"/>
      <c r="B32" s="26"/>
      <c r="C32" s="21"/>
      <c r="D32" s="21"/>
      <c r="E32" s="28"/>
      <c r="F32" s="28"/>
      <c r="G32" s="25"/>
      <c r="H32" s="21"/>
      <c r="I32" s="9"/>
      <c r="J32" s="48"/>
      <c r="K32" s="22"/>
      <c r="L32" s="9"/>
      <c r="M32" s="9"/>
      <c r="N32" s="9"/>
      <c r="O32" s="9"/>
      <c r="P32" s="9"/>
      <c r="Q32" s="9"/>
    </row>
    <row r="33" spans="1:17" x14ac:dyDescent="0.2">
      <c r="A33" s="21"/>
      <c r="B33" s="26"/>
      <c r="C33" s="21"/>
      <c r="D33" s="21"/>
      <c r="E33" s="22"/>
      <c r="F33" s="22"/>
      <c r="G33" s="26"/>
      <c r="H33" s="9"/>
      <c r="I33" s="9"/>
      <c r="J33" s="48"/>
      <c r="K33" s="9"/>
      <c r="L33" s="9"/>
      <c r="M33" s="9"/>
      <c r="N33" s="9"/>
      <c r="O33" s="9"/>
      <c r="P33" s="9"/>
      <c r="Q33" s="9"/>
    </row>
    <row r="34" spans="1:17" x14ac:dyDescent="0.2">
      <c r="A34" s="21"/>
      <c r="B34" s="26"/>
      <c r="C34" s="21"/>
      <c r="D34" s="21"/>
      <c r="E34" s="28"/>
      <c r="F34" s="28"/>
      <c r="G34" s="26"/>
      <c r="H34" s="21"/>
      <c r="I34" s="9"/>
      <c r="J34" s="48"/>
      <c r="K34" s="9"/>
      <c r="L34" s="9"/>
      <c r="M34" s="9"/>
      <c r="N34" s="9"/>
      <c r="O34" s="9"/>
      <c r="P34" s="9"/>
      <c r="Q34" s="9"/>
    </row>
    <row r="35" spans="1:17" x14ac:dyDescent="0.2">
      <c r="A35" s="21"/>
      <c r="B35" s="26"/>
      <c r="C35" s="21"/>
      <c r="D35" s="21"/>
      <c r="E35" s="28"/>
      <c r="F35" s="28"/>
      <c r="G35" s="25"/>
      <c r="H35" s="21"/>
      <c r="I35" s="9"/>
      <c r="J35" s="48"/>
      <c r="K35" s="9"/>
      <c r="L35" s="9"/>
      <c r="M35" s="9"/>
      <c r="N35" s="9"/>
      <c r="O35" s="9"/>
      <c r="P35" s="9"/>
      <c r="Q35" s="9"/>
    </row>
    <row r="36" spans="1:17" x14ac:dyDescent="0.2">
      <c r="A36" s="21"/>
      <c r="B36" s="26"/>
      <c r="C36" s="21"/>
      <c r="D36" s="21"/>
      <c r="E36" s="28"/>
      <c r="F36" s="28"/>
      <c r="G36" s="25"/>
      <c r="H36" s="21"/>
      <c r="I36" s="9"/>
      <c r="J36" s="48"/>
      <c r="K36" s="9"/>
      <c r="L36" s="9"/>
      <c r="M36" s="9"/>
      <c r="N36" s="9"/>
      <c r="O36" s="9"/>
      <c r="P36" s="9"/>
      <c r="Q36" s="9"/>
    </row>
    <row r="37" spans="1:17" x14ac:dyDescent="0.2">
      <c r="A37" s="21"/>
      <c r="B37" s="26"/>
      <c r="C37" s="21"/>
      <c r="D37" s="21"/>
      <c r="E37" s="28"/>
      <c r="F37" s="28"/>
      <c r="G37" s="25"/>
      <c r="H37" s="21"/>
      <c r="I37" s="9"/>
      <c r="J37" s="48"/>
      <c r="K37" s="9"/>
      <c r="L37" s="9"/>
      <c r="M37" s="9"/>
      <c r="N37" s="9"/>
      <c r="O37" s="9"/>
      <c r="P37" s="9"/>
      <c r="Q37" s="9"/>
    </row>
    <row r="38" spans="1:17" x14ac:dyDescent="0.2">
      <c r="A38" s="21"/>
      <c r="B38" s="26"/>
      <c r="C38" s="21"/>
      <c r="D38" s="21"/>
      <c r="E38" s="28"/>
      <c r="F38" s="28"/>
      <c r="G38" s="25"/>
      <c r="H38" s="21"/>
      <c r="I38" s="9"/>
      <c r="J38" s="48"/>
      <c r="K38" s="9"/>
      <c r="L38" s="9"/>
      <c r="M38" s="9"/>
      <c r="N38" s="9"/>
      <c r="O38" s="9"/>
      <c r="P38" s="9"/>
      <c r="Q38" s="9"/>
    </row>
    <row r="39" spans="1:17" x14ac:dyDescent="0.2">
      <c r="A39" s="9"/>
      <c r="B39" s="9"/>
      <c r="C39" s="9"/>
      <c r="D39" s="9"/>
      <c r="E39" s="28"/>
      <c r="F39" s="28"/>
      <c r="G39" s="25"/>
      <c r="H39" s="21"/>
      <c r="I39" s="9"/>
      <c r="J39" s="48"/>
      <c r="K39" s="9"/>
      <c r="L39" s="9"/>
      <c r="M39" s="9"/>
      <c r="N39" s="9"/>
      <c r="O39" s="9"/>
      <c r="P39" s="9"/>
      <c r="Q39" s="9"/>
    </row>
    <row r="40" spans="1:17" x14ac:dyDescent="0.2">
      <c r="A40" s="9"/>
      <c r="B40" s="9"/>
      <c r="C40" s="9"/>
      <c r="D40" s="9"/>
      <c r="E40" s="28"/>
      <c r="F40" s="28"/>
      <c r="G40" s="25"/>
      <c r="H40" s="21"/>
      <c r="I40" s="9"/>
      <c r="J40" s="48"/>
      <c r="K40" s="9"/>
      <c r="L40" s="9"/>
      <c r="M40" s="9"/>
      <c r="N40" s="9"/>
      <c r="O40" s="9"/>
      <c r="P40" s="9"/>
      <c r="Q40" s="9"/>
    </row>
    <row r="41" spans="1:17" x14ac:dyDescent="0.2">
      <c r="A41" s="9"/>
      <c r="B41" s="9"/>
      <c r="C41" s="9"/>
      <c r="D41" s="9"/>
      <c r="E41" s="22"/>
      <c r="F41" s="22"/>
      <c r="G41" s="25"/>
      <c r="H41" s="9"/>
      <c r="I41" s="9"/>
      <c r="J41" s="9"/>
      <c r="K41" s="22"/>
      <c r="L41" s="9"/>
      <c r="M41" s="9"/>
      <c r="N41" s="9"/>
      <c r="O41" s="9"/>
      <c r="P41" s="9"/>
      <c r="Q41" s="9"/>
    </row>
    <row r="42" spans="1:17" x14ac:dyDescent="0.2">
      <c r="A42" s="9"/>
      <c r="B42" s="9"/>
      <c r="C42" s="9"/>
      <c r="D42" s="9"/>
      <c r="E42" s="22"/>
      <c r="F42" s="22"/>
      <c r="G42" s="25"/>
      <c r="H42" s="9"/>
      <c r="I42" s="9"/>
      <c r="J42" s="48"/>
      <c r="K42" s="9"/>
      <c r="L42" s="9"/>
      <c r="M42" s="9"/>
      <c r="N42" s="9"/>
      <c r="O42" s="9"/>
      <c r="P42" s="9"/>
      <c r="Q42" s="9"/>
    </row>
    <row r="43" spans="1:17" x14ac:dyDescent="0.2">
      <c r="A43" s="9"/>
      <c r="B43" s="9"/>
      <c r="C43" s="9"/>
      <c r="D43" s="9"/>
      <c r="E43" s="22"/>
      <c r="F43" s="22"/>
      <c r="G43" s="25"/>
      <c r="H43" s="9"/>
      <c r="I43" s="9"/>
      <c r="J43" s="48"/>
      <c r="K43" s="22"/>
      <c r="L43" s="9"/>
      <c r="M43" s="9"/>
      <c r="N43" s="9"/>
      <c r="O43" s="9"/>
      <c r="P43" s="9"/>
      <c r="Q43" s="9"/>
    </row>
    <row r="44" spans="1:17" x14ac:dyDescent="0.2">
      <c r="A44" s="9"/>
      <c r="B44" s="9"/>
      <c r="C44" s="9"/>
      <c r="D44" s="9"/>
      <c r="E44" s="22"/>
      <c r="F44" s="22"/>
      <c r="G44" s="25"/>
      <c r="H44" s="9"/>
      <c r="I44" s="9"/>
      <c r="J44" s="48"/>
      <c r="K44" s="9"/>
      <c r="L44" s="9"/>
      <c r="M44" s="9"/>
      <c r="N44" s="9"/>
      <c r="O44" s="9"/>
      <c r="P44" s="9"/>
      <c r="Q44" s="9"/>
    </row>
    <row r="45" spans="1:17" x14ac:dyDescent="0.2">
      <c r="A45" s="9"/>
      <c r="B45" s="9"/>
      <c r="C45" s="9"/>
      <c r="D45" s="9"/>
      <c r="E45" s="22"/>
      <c r="F45" s="22"/>
      <c r="G45" s="25"/>
      <c r="H45" s="9"/>
      <c r="I45" s="9"/>
      <c r="J45" s="48"/>
      <c r="K45" s="22"/>
      <c r="L45" s="9"/>
      <c r="M45" s="9"/>
      <c r="N45" s="9"/>
      <c r="O45" s="9"/>
      <c r="P45" s="9"/>
      <c r="Q45" s="9"/>
    </row>
    <row r="46" spans="1:17" x14ac:dyDescent="0.2">
      <c r="A46" s="9"/>
      <c r="B46" s="9"/>
      <c r="C46" s="9"/>
      <c r="D46" s="9"/>
      <c r="E46" s="22"/>
      <c r="F46" s="22"/>
      <c r="G46" s="25"/>
      <c r="H46" s="9"/>
      <c r="I46" s="9"/>
      <c r="J46" s="48"/>
      <c r="K46" s="22"/>
      <c r="L46" s="9"/>
      <c r="M46" s="9"/>
      <c r="N46" s="9"/>
      <c r="O46" s="9"/>
      <c r="P46" s="9"/>
      <c r="Q46" s="9"/>
    </row>
    <row r="47" spans="1:17" x14ac:dyDescent="0.2">
      <c r="A47" s="9"/>
      <c r="B47" s="9"/>
      <c r="C47" s="9"/>
      <c r="D47" s="9"/>
      <c r="E47" s="22"/>
      <c r="F47" s="22"/>
      <c r="G47" s="25"/>
      <c r="H47" s="9"/>
      <c r="I47" s="9"/>
      <c r="J47" s="48"/>
      <c r="K47" s="22"/>
      <c r="L47" s="9"/>
      <c r="M47" s="9"/>
      <c r="N47" s="9"/>
      <c r="O47" s="9"/>
      <c r="P47" s="9"/>
      <c r="Q47" s="9"/>
    </row>
    <row r="48" spans="1:17" x14ac:dyDescent="0.2">
      <c r="A48" s="9"/>
      <c r="B48" s="9"/>
      <c r="C48" s="9"/>
      <c r="D48" s="9"/>
      <c r="E48" s="9"/>
      <c r="F48" s="9"/>
      <c r="G48" s="9"/>
      <c r="H48" s="9"/>
      <c r="I48" s="9"/>
      <c r="J48" s="9"/>
      <c r="K48" s="9"/>
      <c r="L48" s="9"/>
      <c r="M48" s="9"/>
      <c r="N48" s="9"/>
      <c r="O48" s="9"/>
      <c r="P48" s="9"/>
      <c r="Q48" s="9"/>
    </row>
    <row r="49" spans="1:17" x14ac:dyDescent="0.2">
      <c r="A49" s="9"/>
      <c r="B49" s="9"/>
      <c r="C49" s="9"/>
      <c r="D49" s="9"/>
      <c r="E49" s="9"/>
      <c r="F49" s="9"/>
      <c r="G49" s="9"/>
      <c r="H49" s="9"/>
      <c r="I49" s="9"/>
      <c r="J49" s="9"/>
      <c r="K49" s="9"/>
      <c r="L49" s="9"/>
      <c r="M49" s="9"/>
      <c r="N49" s="9"/>
      <c r="O49" s="9"/>
      <c r="P49" s="9"/>
      <c r="Q49" s="9"/>
    </row>
    <row r="50" spans="1:17" x14ac:dyDescent="0.2">
      <c r="A50" s="9"/>
      <c r="B50" s="9"/>
      <c r="C50" s="9"/>
      <c r="D50" s="9"/>
      <c r="E50" s="9"/>
      <c r="F50" s="9"/>
      <c r="G50" s="9"/>
      <c r="H50" s="9"/>
      <c r="I50" s="9"/>
      <c r="J50" s="9"/>
      <c r="K50" s="9"/>
      <c r="L50" s="9"/>
      <c r="M50" s="9"/>
      <c r="N50" s="9"/>
      <c r="O50" s="9"/>
      <c r="P50" s="9"/>
      <c r="Q50" s="9"/>
    </row>
    <row r="51" spans="1:17" x14ac:dyDescent="0.2">
      <c r="A51" s="9"/>
      <c r="B51" s="9"/>
      <c r="C51" s="9"/>
      <c r="D51" s="9"/>
      <c r="E51" s="9"/>
      <c r="F51" s="9"/>
      <c r="G51" s="9"/>
      <c r="H51" s="9"/>
      <c r="I51" s="9"/>
      <c r="J51" s="9"/>
      <c r="K51" s="9"/>
      <c r="L51" s="9"/>
      <c r="M51" s="9"/>
      <c r="N51" s="9"/>
      <c r="O51" s="9"/>
      <c r="P51" s="9"/>
      <c r="Q51" s="9"/>
    </row>
    <row r="52" spans="1:17" x14ac:dyDescent="0.2">
      <c r="A52" s="9"/>
      <c r="B52" s="9"/>
      <c r="C52" s="9"/>
      <c r="D52" s="9"/>
      <c r="E52" s="9"/>
      <c r="F52" s="9"/>
      <c r="G52" s="9"/>
      <c r="H52" s="9"/>
      <c r="I52" s="9"/>
      <c r="J52" s="9"/>
      <c r="K52" s="9"/>
      <c r="L52" s="9"/>
      <c r="M52" s="9"/>
      <c r="N52" s="9"/>
      <c r="O52" s="9"/>
      <c r="P52" s="9"/>
      <c r="Q52" s="9"/>
    </row>
    <row r="53" spans="1:17" x14ac:dyDescent="0.2">
      <c r="A53" s="9"/>
      <c r="B53" s="9"/>
      <c r="C53" s="9"/>
      <c r="D53" s="9"/>
      <c r="E53" s="9"/>
      <c r="F53" s="9"/>
      <c r="G53" s="9"/>
      <c r="H53" s="9"/>
      <c r="I53" s="9"/>
      <c r="J53" s="9"/>
      <c r="K53" s="9"/>
      <c r="L53" s="9"/>
      <c r="M53" s="9"/>
      <c r="N53" s="9"/>
      <c r="O53" s="9"/>
      <c r="P53" s="9"/>
      <c r="Q53" s="9"/>
    </row>
    <row r="54" spans="1:17" x14ac:dyDescent="0.2">
      <c r="A54" s="9"/>
      <c r="B54" s="9"/>
      <c r="C54" s="9"/>
      <c r="D54" s="9"/>
      <c r="E54" s="9"/>
      <c r="F54" s="9"/>
      <c r="G54" s="9"/>
      <c r="H54" s="9"/>
      <c r="I54" s="9"/>
      <c r="J54" s="9"/>
      <c r="K54" s="9"/>
      <c r="L54" s="9"/>
      <c r="M54" s="9"/>
      <c r="N54" s="9"/>
      <c r="O54" s="9"/>
      <c r="P54" s="9"/>
      <c r="Q54" s="9"/>
    </row>
    <row r="55" spans="1:17" x14ac:dyDescent="0.2">
      <c r="A55" s="9"/>
      <c r="B55" s="9"/>
      <c r="C55" s="9"/>
      <c r="D55" s="9"/>
      <c r="E55" s="9"/>
      <c r="F55" s="9"/>
      <c r="G55" s="9"/>
      <c r="H55" s="9"/>
      <c r="I55" s="9"/>
      <c r="J55" s="9"/>
      <c r="K55" s="9"/>
      <c r="L55" s="9"/>
      <c r="M55" s="9"/>
      <c r="N55" s="9"/>
      <c r="O55" s="9"/>
      <c r="P55" s="9"/>
      <c r="Q55" s="9"/>
    </row>
    <row r="56" spans="1:17" x14ac:dyDescent="0.2">
      <c r="A56" s="9"/>
      <c r="B56" s="9"/>
      <c r="C56" s="9"/>
      <c r="D56" s="9"/>
      <c r="E56" s="9"/>
      <c r="F56" s="9"/>
      <c r="G56" s="9"/>
      <c r="H56" s="9"/>
      <c r="I56" s="9"/>
      <c r="J56" s="9"/>
      <c r="K56" s="9"/>
      <c r="L56" s="9"/>
      <c r="M56" s="9"/>
      <c r="N56" s="9"/>
      <c r="O56" s="9"/>
      <c r="P56" s="9"/>
      <c r="Q56" s="9"/>
    </row>
    <row r="57" spans="1:17" x14ac:dyDescent="0.2">
      <c r="A57" s="9"/>
      <c r="B57" s="9"/>
      <c r="C57" s="9"/>
      <c r="D57" s="9"/>
      <c r="E57" s="9"/>
      <c r="F57" s="9"/>
      <c r="G57" s="9"/>
      <c r="H57" s="9"/>
      <c r="I57" s="9"/>
      <c r="J57" s="9"/>
      <c r="K57" s="9"/>
      <c r="L57" s="9"/>
      <c r="M57" s="9"/>
      <c r="N57" s="9"/>
      <c r="O57" s="9"/>
      <c r="P57" s="9"/>
      <c r="Q57" s="9"/>
    </row>
    <row r="58" spans="1:17" x14ac:dyDescent="0.2">
      <c r="A58" s="9"/>
      <c r="B58" s="9"/>
      <c r="C58" s="9"/>
      <c r="D58" s="9"/>
      <c r="E58" s="9"/>
      <c r="F58" s="9"/>
      <c r="G58" s="9"/>
      <c r="H58" s="9"/>
      <c r="I58" s="9"/>
      <c r="J58" s="9"/>
      <c r="K58" s="9"/>
      <c r="L58" s="9"/>
      <c r="M58" s="9"/>
      <c r="N58" s="9"/>
      <c r="O58" s="9"/>
      <c r="P58" s="9"/>
      <c r="Q58" s="9"/>
    </row>
    <row r="59" spans="1:17" x14ac:dyDescent="0.2">
      <c r="A59" s="9"/>
      <c r="B59" s="9"/>
      <c r="C59" s="9"/>
      <c r="D59" s="9"/>
      <c r="E59" s="9"/>
      <c r="F59" s="9"/>
      <c r="G59" s="9"/>
      <c r="H59" s="9"/>
      <c r="I59" s="9"/>
      <c r="J59" s="9"/>
      <c r="K59" s="9"/>
      <c r="L59" s="9"/>
      <c r="M59" s="9"/>
      <c r="N59" s="9"/>
      <c r="O59" s="9"/>
      <c r="P59" s="9"/>
      <c r="Q59" s="9"/>
    </row>
    <row r="60" spans="1:17" x14ac:dyDescent="0.2">
      <c r="A60" s="9"/>
      <c r="B60" s="9"/>
      <c r="C60" s="9"/>
      <c r="D60" s="9"/>
      <c r="E60" s="9"/>
      <c r="F60" s="9"/>
      <c r="G60" s="9"/>
      <c r="H60" s="9"/>
      <c r="I60" s="9"/>
      <c r="J60" s="9"/>
      <c r="K60" s="9"/>
      <c r="L60" s="9"/>
      <c r="M60" s="9"/>
      <c r="N60" s="9"/>
      <c r="O60" s="9"/>
      <c r="P60" s="9"/>
      <c r="Q60" s="9"/>
    </row>
    <row r="61" spans="1:17" x14ac:dyDescent="0.2">
      <c r="A61" s="9"/>
      <c r="B61" s="9"/>
      <c r="C61" s="9"/>
      <c r="D61" s="9"/>
      <c r="E61" s="9"/>
      <c r="F61" s="9"/>
      <c r="G61" s="9"/>
      <c r="H61" s="9"/>
      <c r="I61" s="9"/>
      <c r="J61" s="9"/>
      <c r="K61" s="9"/>
      <c r="L61" s="9"/>
      <c r="M61" s="9"/>
      <c r="N61" s="9"/>
      <c r="O61" s="9"/>
      <c r="P61" s="9"/>
      <c r="Q61" s="9"/>
    </row>
    <row r="62" spans="1:17" x14ac:dyDescent="0.2">
      <c r="A62" s="9"/>
      <c r="B62" s="9"/>
      <c r="C62" s="9"/>
      <c r="D62" s="9"/>
      <c r="E62" s="9"/>
      <c r="F62" s="9"/>
      <c r="G62" s="9"/>
      <c r="H62" s="9"/>
      <c r="I62" s="9"/>
      <c r="J62" s="9"/>
      <c r="K62" s="9"/>
      <c r="L62" s="9"/>
      <c r="M62" s="9"/>
      <c r="N62" s="9"/>
      <c r="O62" s="9"/>
      <c r="P62" s="9"/>
      <c r="Q62" s="9"/>
    </row>
    <row r="63" spans="1:17" x14ac:dyDescent="0.2">
      <c r="A63" s="9"/>
      <c r="B63" s="9"/>
      <c r="C63" s="9"/>
      <c r="D63" s="9"/>
      <c r="E63" s="9"/>
      <c r="F63" s="9"/>
      <c r="G63" s="9"/>
      <c r="H63" s="9"/>
      <c r="I63" s="9"/>
      <c r="J63" s="9"/>
      <c r="K63" s="9"/>
      <c r="L63" s="9"/>
      <c r="M63" s="9"/>
      <c r="N63" s="9"/>
      <c r="O63" s="9"/>
      <c r="P63" s="9"/>
      <c r="Q63" s="9"/>
    </row>
    <row r="64" spans="1:17" x14ac:dyDescent="0.2">
      <c r="A64" s="9"/>
      <c r="B64" s="9"/>
      <c r="C64" s="9"/>
      <c r="D64" s="9"/>
      <c r="E64" s="9"/>
      <c r="F64" s="9"/>
      <c r="G64" s="9"/>
      <c r="H64" s="9"/>
      <c r="I64" s="9"/>
      <c r="J64" s="9"/>
      <c r="K64" s="9"/>
      <c r="L64" s="9"/>
      <c r="M64" s="9"/>
      <c r="N64" s="9"/>
      <c r="O64" s="9"/>
      <c r="P64" s="9"/>
      <c r="Q64" s="9"/>
    </row>
    <row r="65" spans="1:17" x14ac:dyDescent="0.2">
      <c r="A65" s="9"/>
      <c r="B65" s="9"/>
      <c r="C65" s="9"/>
      <c r="D65" s="9"/>
      <c r="E65" s="9"/>
      <c r="F65" s="9"/>
      <c r="G65" s="9"/>
      <c r="H65" s="9"/>
      <c r="I65" s="9"/>
      <c r="J65" s="9"/>
      <c r="K65" s="9"/>
      <c r="L65" s="9"/>
      <c r="M65" s="9"/>
      <c r="N65" s="9"/>
      <c r="O65" s="9"/>
      <c r="P65" s="9"/>
      <c r="Q65" s="9"/>
    </row>
  </sheetData>
  <mergeCells count="2">
    <mergeCell ref="A1:C1"/>
    <mergeCell ref="A2:C2"/>
  </mergeCells>
  <phoneticPr fontId="1" type="noConversion"/>
  <dataValidations count="5">
    <dataValidation type="list" allowBlank="1" showInputMessage="1" showErrorMessage="1" sqref="P37:P38 N4:N47 O27:O36 O25 O23 O39:O40">
      <formula1>版本名称</formula1>
    </dataValidation>
    <dataValidation type="list" allowBlank="1" showInputMessage="1" showErrorMessage="1" sqref="H4:H32 H34:H40">
      <formula1>"是,否"</formula1>
    </dataValidation>
    <dataValidation type="list" allowBlank="1" showInputMessage="1" showErrorMessage="1" sqref="H33">
      <formula1>"已审核,已排期,已上线"</formula1>
    </dataValidation>
    <dataValidation type="list" allowBlank="1" showInputMessage="1" showErrorMessage="1" sqref="J4:J40 J42:J47">
      <formula1>"高,中,低"</formula1>
    </dataValidation>
    <dataValidation type="list" allowBlank="1" showInputMessage="1" showErrorMessage="1" sqref="I4:I65">
      <formula1>"待分析,待排期,已挂起,已排期,已上线,已退回,无须排期,转派他组"</formula1>
    </dataValidation>
  </dataValidations>
  <pageMargins left="0.75" right="0.75" top="1" bottom="1" header="0.5" footer="0.5"/>
  <pageSetup paperSize="9"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R85"/>
  <sheetViews>
    <sheetView topLeftCell="B3" workbookViewId="0">
      <selection activeCell="N6" sqref="N6"/>
    </sheetView>
  </sheetViews>
  <sheetFormatPr defaultRowHeight="12.75" x14ac:dyDescent="0.2"/>
  <cols>
    <col min="1" max="1" width="16.7109375" customWidth="1"/>
    <col min="2" max="2" width="13.7109375" customWidth="1"/>
    <col min="3" max="3" width="41.28515625" customWidth="1"/>
    <col min="4" max="4" width="11.140625" customWidth="1"/>
    <col min="5" max="6" width="10.5703125" customWidth="1"/>
    <col min="7" max="7" width="14" customWidth="1"/>
    <col min="8" max="8" width="6.140625" customWidth="1"/>
    <col min="9" max="9" width="5.85546875" customWidth="1"/>
    <col min="10" max="10" width="18.85546875" customWidth="1"/>
    <col min="11" max="11" width="14.28515625" bestFit="1" customWidth="1"/>
    <col min="12" max="12" width="11.5703125" customWidth="1"/>
    <col min="13" max="13" width="17.42578125" customWidth="1"/>
    <col min="14" max="14" width="11" customWidth="1"/>
    <col min="15" max="15" width="11.28515625" customWidth="1"/>
    <col min="16" max="16" width="32.5703125" customWidth="1"/>
    <col min="17" max="17" width="11" customWidth="1"/>
    <col min="18" max="18" width="15" customWidth="1"/>
  </cols>
  <sheetData>
    <row r="1" spans="1:18" ht="110.25" hidden="1" customHeight="1" x14ac:dyDescent="0.2">
      <c r="A1" s="142" t="s">
        <v>40</v>
      </c>
      <c r="B1" s="142"/>
      <c r="C1" s="142"/>
      <c r="D1" s="33"/>
    </row>
    <row r="2" spans="1:18" ht="24" hidden="1" customHeight="1" x14ac:dyDescent="0.2">
      <c r="A2" s="32" t="s">
        <v>50</v>
      </c>
      <c r="B2" s="30"/>
      <c r="L2" s="10"/>
      <c r="O2" s="31"/>
    </row>
    <row r="3" spans="1:18" ht="14.25" customHeight="1" x14ac:dyDescent="0.2">
      <c r="A3" s="143" t="s">
        <v>55</v>
      </c>
      <c r="B3" s="143"/>
      <c r="C3" s="143"/>
      <c r="D3" s="34"/>
    </row>
    <row r="4" spans="1:18" s="10" customFormat="1" ht="24.75" x14ac:dyDescent="0.2">
      <c r="A4" s="17" t="s">
        <v>51</v>
      </c>
      <c r="B4" s="17" t="s">
        <v>52</v>
      </c>
      <c r="C4" s="17" t="s">
        <v>54</v>
      </c>
      <c r="D4" s="17" t="s">
        <v>113</v>
      </c>
      <c r="E4" s="17" t="s">
        <v>114</v>
      </c>
      <c r="F4" s="57" t="s">
        <v>99</v>
      </c>
      <c r="G4" s="17" t="s">
        <v>115</v>
      </c>
      <c r="H4" s="17" t="s">
        <v>116</v>
      </c>
      <c r="I4" s="17" t="s">
        <v>117</v>
      </c>
      <c r="J4" s="17" t="s">
        <v>118</v>
      </c>
      <c r="K4" s="17" t="s">
        <v>107</v>
      </c>
      <c r="L4" s="17" t="s">
        <v>108</v>
      </c>
      <c r="M4" s="17" t="s">
        <v>109</v>
      </c>
      <c r="N4" s="17" t="s">
        <v>110</v>
      </c>
      <c r="O4" s="17" t="s">
        <v>119</v>
      </c>
      <c r="P4" s="17" t="s">
        <v>120</v>
      </c>
      <c r="Q4" s="47"/>
      <c r="R4" s="46"/>
    </row>
    <row r="5" spans="1:18" x14ac:dyDescent="0.2">
      <c r="A5" s="21" t="s">
        <v>251</v>
      </c>
      <c r="B5" s="26">
        <v>43217</v>
      </c>
      <c r="C5" s="121" t="s">
        <v>249</v>
      </c>
      <c r="D5" s="21"/>
      <c r="E5" s="21"/>
      <c r="F5" s="21"/>
      <c r="G5" s="55"/>
      <c r="H5" s="22"/>
      <c r="I5" s="48"/>
      <c r="J5" s="22"/>
      <c r="K5" s="22"/>
      <c r="L5" s="9"/>
      <c r="M5" s="9" t="s">
        <v>247</v>
      </c>
      <c r="N5" s="122" t="s">
        <v>248</v>
      </c>
      <c r="O5" s="22"/>
      <c r="P5" s="22"/>
      <c r="Q5" s="45"/>
      <c r="R5" s="23"/>
    </row>
    <row r="6" spans="1:18" x14ac:dyDescent="0.2">
      <c r="A6" s="21" t="s">
        <v>251</v>
      </c>
      <c r="B6" s="26">
        <v>43217</v>
      </c>
      <c r="C6" s="121" t="s">
        <v>250</v>
      </c>
      <c r="D6" s="21"/>
      <c r="E6" s="21"/>
      <c r="F6" s="21"/>
      <c r="G6" s="26"/>
      <c r="H6" s="9"/>
      <c r="I6" s="48"/>
      <c r="J6" s="22"/>
      <c r="K6" s="22"/>
      <c r="L6" s="9"/>
      <c r="M6" s="9" t="s">
        <v>247</v>
      </c>
      <c r="N6" s="122" t="s">
        <v>248</v>
      </c>
      <c r="O6" s="22"/>
      <c r="P6" s="22"/>
      <c r="Q6" s="45"/>
      <c r="R6" s="23"/>
    </row>
    <row r="7" spans="1:18" x14ac:dyDescent="0.2">
      <c r="A7" s="21"/>
      <c r="B7" s="26"/>
      <c r="C7" s="21"/>
      <c r="D7" s="21"/>
      <c r="E7" s="21"/>
      <c r="F7" s="21"/>
      <c r="G7" s="26"/>
      <c r="H7" s="9"/>
      <c r="I7" s="48"/>
      <c r="J7" s="22"/>
      <c r="K7" s="22"/>
      <c r="L7" s="9"/>
      <c r="M7" s="9"/>
      <c r="N7" s="22"/>
      <c r="O7" s="9"/>
      <c r="P7" s="9"/>
      <c r="Q7" s="45"/>
      <c r="R7" s="23"/>
    </row>
    <row r="8" spans="1:18" ht="13.5" customHeight="1" x14ac:dyDescent="0.2">
      <c r="A8" s="21"/>
      <c r="B8" s="26"/>
      <c r="C8" s="21"/>
      <c r="D8" s="21"/>
      <c r="E8" s="21"/>
      <c r="F8" s="21"/>
      <c r="G8" s="26"/>
      <c r="H8" s="9"/>
      <c r="I8" s="48"/>
      <c r="J8" s="22"/>
      <c r="K8" s="22"/>
      <c r="L8" s="9"/>
      <c r="M8" s="9"/>
      <c r="N8" s="9"/>
      <c r="O8" s="9"/>
      <c r="P8" s="9"/>
      <c r="Q8" s="45"/>
      <c r="R8" s="23"/>
    </row>
    <row r="9" spans="1:18" x14ac:dyDescent="0.2">
      <c r="A9" s="21"/>
      <c r="B9" s="26"/>
      <c r="C9" s="21"/>
      <c r="D9" s="21"/>
      <c r="E9" s="21"/>
      <c r="F9" s="21"/>
      <c r="G9" s="26"/>
      <c r="H9" s="9"/>
      <c r="I9" s="48"/>
      <c r="J9" s="22"/>
      <c r="K9" s="22"/>
      <c r="L9" s="9"/>
      <c r="M9" s="9"/>
      <c r="N9" s="9"/>
      <c r="O9" s="9"/>
      <c r="P9" s="22"/>
      <c r="Q9" s="45"/>
      <c r="R9" s="23"/>
    </row>
    <row r="10" spans="1:18" x14ac:dyDescent="0.2">
      <c r="A10" s="21"/>
      <c r="B10" s="26"/>
      <c r="C10" s="21"/>
      <c r="D10" s="21"/>
      <c r="E10" s="21"/>
      <c r="F10" s="21"/>
      <c r="G10" s="26"/>
      <c r="H10" s="9"/>
      <c r="I10" s="48"/>
      <c r="J10" s="22"/>
      <c r="K10" s="22"/>
      <c r="L10" s="9"/>
      <c r="M10" s="9"/>
      <c r="N10" s="9"/>
      <c r="O10" s="9"/>
      <c r="P10" s="9"/>
      <c r="Q10" s="45"/>
      <c r="R10" s="23"/>
    </row>
    <row r="11" spans="1:18" x14ac:dyDescent="0.2">
      <c r="A11" s="21"/>
      <c r="B11" s="26"/>
      <c r="C11" s="21"/>
      <c r="D11" s="21"/>
      <c r="E11" s="21"/>
      <c r="F11" s="21"/>
      <c r="G11" s="26"/>
      <c r="H11" s="9"/>
      <c r="I11" s="48"/>
      <c r="J11" s="22"/>
      <c r="K11" s="22"/>
      <c r="L11" s="9"/>
      <c r="M11" s="9"/>
      <c r="N11" s="9"/>
      <c r="O11" s="22"/>
      <c r="P11" s="22"/>
      <c r="Q11" s="45"/>
      <c r="R11" s="23"/>
    </row>
    <row r="12" spans="1:18" ht="13.5" customHeight="1" x14ac:dyDescent="0.2">
      <c r="A12" s="21"/>
      <c r="B12" s="26"/>
      <c r="C12" s="21"/>
      <c r="D12" s="21"/>
      <c r="E12" s="21"/>
      <c r="F12" s="21"/>
      <c r="G12" s="26"/>
      <c r="H12" s="9"/>
      <c r="I12" s="48"/>
      <c r="J12" s="22"/>
      <c r="K12" s="22"/>
      <c r="L12" s="9"/>
      <c r="M12" s="9"/>
      <c r="N12" s="9"/>
      <c r="O12" s="9"/>
      <c r="P12" s="9"/>
      <c r="Q12" s="45"/>
      <c r="R12" s="23"/>
    </row>
    <row r="13" spans="1:18" ht="13.5" customHeight="1" x14ac:dyDescent="0.2">
      <c r="A13" s="21"/>
      <c r="B13" s="26"/>
      <c r="C13" s="21"/>
      <c r="D13" s="21"/>
      <c r="E13" s="21"/>
      <c r="F13" s="21"/>
      <c r="G13" s="26"/>
      <c r="H13" s="9"/>
      <c r="I13" s="48"/>
      <c r="J13" s="22"/>
      <c r="K13" s="22"/>
      <c r="L13" s="9"/>
      <c r="M13" s="9"/>
      <c r="N13" s="9"/>
      <c r="O13" s="9"/>
      <c r="P13" s="22"/>
      <c r="Q13" s="45"/>
      <c r="R13" s="23"/>
    </row>
    <row r="14" spans="1:18" x14ac:dyDescent="0.2">
      <c r="A14" s="21"/>
      <c r="B14" s="26"/>
      <c r="C14" s="21"/>
      <c r="D14" s="21"/>
      <c r="E14" s="21"/>
      <c r="F14" s="21"/>
      <c r="G14" s="26"/>
      <c r="H14" s="9"/>
      <c r="I14" s="48"/>
      <c r="J14" s="22"/>
      <c r="K14" s="22"/>
      <c r="L14" s="9"/>
      <c r="M14" s="9"/>
      <c r="N14" s="9"/>
      <c r="O14" s="9"/>
      <c r="P14" s="22"/>
      <c r="Q14" s="45"/>
      <c r="R14" s="23"/>
    </row>
    <row r="15" spans="1:18" x14ac:dyDescent="0.2">
      <c r="A15" s="21"/>
      <c r="B15" s="26"/>
      <c r="C15" s="21"/>
      <c r="D15" s="21"/>
      <c r="E15" s="21"/>
      <c r="F15" s="21"/>
      <c r="G15" s="26"/>
      <c r="H15" s="9"/>
      <c r="I15" s="48"/>
      <c r="J15" s="22"/>
      <c r="K15" s="22"/>
      <c r="L15" s="9"/>
      <c r="M15" s="9"/>
      <c r="N15" s="9"/>
      <c r="O15" s="9"/>
      <c r="P15" s="22"/>
      <c r="Q15" s="45"/>
      <c r="R15" s="23"/>
    </row>
    <row r="16" spans="1:18" x14ac:dyDescent="0.2">
      <c r="A16" s="21"/>
      <c r="B16" s="26"/>
      <c r="C16" s="21"/>
      <c r="D16" s="21"/>
      <c r="E16" s="21"/>
      <c r="F16" s="21"/>
      <c r="G16" s="26"/>
      <c r="H16" s="9"/>
      <c r="I16" s="48"/>
      <c r="J16" s="22"/>
      <c r="K16" s="22"/>
      <c r="L16" s="9"/>
      <c r="M16" s="9"/>
      <c r="N16" s="9"/>
      <c r="O16" s="9"/>
      <c r="P16" s="9"/>
      <c r="Q16" s="45"/>
      <c r="R16" s="23"/>
    </row>
    <row r="17" spans="1:18" ht="13.5" customHeight="1" x14ac:dyDescent="0.2">
      <c r="A17" s="21"/>
      <c r="B17" s="26"/>
      <c r="C17" s="21"/>
      <c r="D17" s="21"/>
      <c r="E17" s="21"/>
      <c r="F17" s="21"/>
      <c r="G17" s="26"/>
      <c r="H17" s="9"/>
      <c r="I17" s="48"/>
      <c r="J17" s="22"/>
      <c r="K17" s="22"/>
      <c r="L17" s="9"/>
      <c r="M17" s="9"/>
      <c r="N17" s="9"/>
      <c r="O17" s="9"/>
      <c r="P17" s="22"/>
      <c r="Q17" s="45"/>
      <c r="R17" s="23"/>
    </row>
    <row r="18" spans="1:18" ht="13.5" customHeight="1" x14ac:dyDescent="0.2">
      <c r="A18" s="21"/>
      <c r="B18" s="26"/>
      <c r="C18" s="21"/>
      <c r="D18" s="21"/>
      <c r="E18" s="21"/>
      <c r="F18" s="21"/>
      <c r="G18" s="26"/>
      <c r="H18" s="9"/>
      <c r="I18" s="48"/>
      <c r="J18" s="22"/>
      <c r="K18" s="22"/>
      <c r="L18" s="9"/>
      <c r="M18" s="9"/>
      <c r="N18" s="9"/>
      <c r="O18" s="9"/>
      <c r="P18" s="22"/>
      <c r="Q18" s="45"/>
      <c r="R18" s="23"/>
    </row>
    <row r="19" spans="1:18" ht="13.5" customHeight="1" x14ac:dyDescent="0.2">
      <c r="A19" s="21"/>
      <c r="B19" s="26"/>
      <c r="C19" s="21"/>
      <c r="D19" s="21"/>
      <c r="E19" s="21"/>
      <c r="F19" s="21"/>
      <c r="G19" s="26"/>
      <c r="H19" s="9"/>
      <c r="I19" s="48"/>
      <c r="J19" s="22"/>
      <c r="K19" s="22"/>
      <c r="L19" s="9"/>
      <c r="M19" s="9"/>
      <c r="N19" s="9"/>
      <c r="O19" s="9"/>
      <c r="P19" s="22"/>
      <c r="Q19" s="45"/>
      <c r="R19" s="23"/>
    </row>
    <row r="20" spans="1:18" ht="13.5" customHeight="1" x14ac:dyDescent="0.2">
      <c r="A20" s="21"/>
      <c r="B20" s="26"/>
      <c r="C20" s="21"/>
      <c r="D20" s="21"/>
      <c r="E20" s="21"/>
      <c r="F20" s="21"/>
      <c r="G20" s="26"/>
      <c r="H20" s="9"/>
      <c r="I20" s="48"/>
      <c r="J20" s="22"/>
      <c r="K20" s="22"/>
      <c r="L20" s="9"/>
      <c r="M20" s="9"/>
      <c r="N20" s="9"/>
      <c r="O20" s="22"/>
      <c r="P20" s="22"/>
      <c r="Q20" s="45"/>
      <c r="R20" s="23"/>
    </row>
    <row r="21" spans="1:18" ht="13.5" customHeight="1" x14ac:dyDescent="0.2">
      <c r="A21" s="21"/>
      <c r="B21" s="26"/>
      <c r="C21" s="21"/>
      <c r="D21" s="21"/>
      <c r="E21" s="21"/>
      <c r="F21" s="21"/>
      <c r="G21" s="26"/>
      <c r="H21" s="9"/>
      <c r="I21" s="48"/>
      <c r="J21" s="9"/>
      <c r="K21" s="9"/>
      <c r="L21" s="9"/>
      <c r="M21" s="9"/>
      <c r="N21" s="9"/>
      <c r="O21" s="9"/>
      <c r="P21" s="9"/>
      <c r="Q21" s="45"/>
      <c r="R21" s="23"/>
    </row>
    <row r="22" spans="1:18" ht="13.5" customHeight="1" x14ac:dyDescent="0.2">
      <c r="A22" s="21"/>
      <c r="B22" s="26"/>
      <c r="C22" s="21"/>
      <c r="D22" s="21"/>
      <c r="E22" s="21"/>
      <c r="F22" s="21"/>
      <c r="G22" s="26"/>
      <c r="H22" s="9"/>
      <c r="I22" s="48"/>
      <c r="J22" s="9"/>
      <c r="K22" s="9"/>
      <c r="L22" s="9"/>
      <c r="M22" s="9"/>
      <c r="N22" s="9"/>
      <c r="O22" s="9"/>
      <c r="P22" s="9"/>
      <c r="Q22" s="23"/>
      <c r="R22" s="23"/>
    </row>
    <row r="23" spans="1:18" ht="13.5" customHeight="1" x14ac:dyDescent="0.2">
      <c r="A23" s="21"/>
      <c r="B23" s="26"/>
      <c r="C23" s="21"/>
      <c r="D23" s="21"/>
      <c r="E23" s="21"/>
      <c r="F23" s="21"/>
      <c r="G23" s="26"/>
      <c r="H23" s="9"/>
      <c r="I23" s="48"/>
      <c r="J23" s="9"/>
      <c r="K23" s="9"/>
      <c r="L23" s="9"/>
      <c r="M23" s="9"/>
      <c r="N23" s="9"/>
      <c r="O23" s="9"/>
      <c r="P23" s="9"/>
      <c r="Q23" s="23"/>
      <c r="R23" s="23"/>
    </row>
    <row r="24" spans="1:18" ht="13.5" customHeight="1" x14ac:dyDescent="0.2">
      <c r="A24" s="21"/>
      <c r="B24" s="26"/>
      <c r="C24" s="21"/>
      <c r="D24" s="21"/>
      <c r="E24" s="9"/>
      <c r="F24" s="9"/>
      <c r="G24" s="25"/>
      <c r="H24" s="22"/>
      <c r="I24" s="48"/>
      <c r="J24" s="22"/>
      <c r="K24" s="22"/>
      <c r="L24" s="9"/>
      <c r="M24" s="9"/>
      <c r="N24" s="9"/>
      <c r="O24" s="22"/>
      <c r="P24" s="9"/>
      <c r="Q24" s="23"/>
      <c r="R24" s="23"/>
    </row>
    <row r="25" spans="1:18" ht="13.5" customHeight="1" x14ac:dyDescent="0.2">
      <c r="A25" s="21"/>
      <c r="B25" s="26"/>
      <c r="C25" s="21"/>
      <c r="D25" s="21"/>
      <c r="E25" s="9"/>
      <c r="F25" s="9"/>
      <c r="G25" s="25"/>
      <c r="H25" s="22"/>
      <c r="I25" s="48"/>
      <c r="J25" s="22"/>
      <c r="K25" s="22"/>
      <c r="L25" s="9"/>
      <c r="M25" s="9"/>
      <c r="N25" s="9"/>
      <c r="O25" s="22"/>
      <c r="P25" s="9"/>
      <c r="Q25" s="23"/>
      <c r="R25" s="23"/>
    </row>
    <row r="26" spans="1:18" ht="13.5" customHeight="1" x14ac:dyDescent="0.2">
      <c r="A26" s="21"/>
      <c r="B26" s="26"/>
      <c r="C26" s="21"/>
      <c r="D26" s="21"/>
      <c r="E26" s="9"/>
      <c r="F26" s="9"/>
      <c r="G26" s="25"/>
      <c r="H26" s="22"/>
      <c r="I26" s="22"/>
      <c r="J26" s="22"/>
      <c r="K26" s="22"/>
      <c r="L26" s="9"/>
      <c r="M26" s="9"/>
      <c r="N26" s="9"/>
      <c r="O26" s="9"/>
      <c r="P26" s="9"/>
      <c r="Q26" s="23"/>
      <c r="R26" s="23"/>
    </row>
    <row r="27" spans="1:18" ht="13.5" customHeight="1" x14ac:dyDescent="0.2">
      <c r="A27" s="21"/>
      <c r="B27" s="26"/>
      <c r="C27" s="21"/>
      <c r="D27" s="21"/>
      <c r="E27" s="9"/>
      <c r="F27" s="9"/>
      <c r="G27" s="25"/>
      <c r="H27" s="22"/>
      <c r="I27" s="22"/>
      <c r="J27" s="22"/>
      <c r="K27" s="22"/>
      <c r="L27" s="9"/>
      <c r="M27" s="9"/>
      <c r="N27" s="9"/>
      <c r="O27" s="9"/>
      <c r="P27" s="9"/>
      <c r="Q27" s="23"/>
      <c r="R27" s="23"/>
    </row>
    <row r="28" spans="1:18" x14ac:dyDescent="0.2">
      <c r="A28" s="21"/>
      <c r="B28" s="26"/>
      <c r="C28" s="21"/>
      <c r="D28" s="21"/>
      <c r="E28" s="9"/>
      <c r="F28" s="9"/>
      <c r="G28" s="25"/>
      <c r="H28" s="22"/>
      <c r="I28" s="22"/>
      <c r="J28" s="22"/>
      <c r="K28" s="22"/>
      <c r="L28" s="9"/>
      <c r="M28" s="9"/>
      <c r="N28" s="9"/>
      <c r="O28" s="9"/>
      <c r="P28" s="9"/>
      <c r="Q28" s="23"/>
      <c r="R28" s="23"/>
    </row>
    <row r="29" spans="1:18" x14ac:dyDescent="0.2">
      <c r="A29" s="21"/>
      <c r="B29" s="26"/>
      <c r="C29" s="21"/>
      <c r="D29" s="21"/>
      <c r="E29" s="9"/>
      <c r="F29" s="9"/>
      <c r="G29" s="25"/>
      <c r="H29" s="22"/>
      <c r="I29" s="22"/>
      <c r="J29" s="22"/>
      <c r="K29" s="22"/>
      <c r="L29" s="9"/>
      <c r="M29" s="9"/>
      <c r="N29" s="9"/>
      <c r="O29" s="9"/>
      <c r="P29" s="9"/>
      <c r="Q29" s="23"/>
      <c r="R29" s="23"/>
    </row>
    <row r="30" spans="1:18" x14ac:dyDescent="0.2">
      <c r="A30" s="21"/>
      <c r="B30" s="26"/>
      <c r="C30" s="21"/>
      <c r="D30" s="21"/>
      <c r="E30" s="9"/>
      <c r="F30" s="9"/>
      <c r="G30" s="25"/>
      <c r="H30" s="22"/>
      <c r="I30" s="22"/>
      <c r="J30" s="22"/>
      <c r="K30" s="22"/>
      <c r="L30" s="9"/>
      <c r="M30" s="9"/>
      <c r="N30" s="9"/>
      <c r="O30" s="22"/>
      <c r="P30" s="9"/>
      <c r="Q30" s="23"/>
      <c r="R30" s="23"/>
    </row>
    <row r="31" spans="1:18" x14ac:dyDescent="0.2">
      <c r="A31" s="21"/>
      <c r="B31" s="26"/>
      <c r="C31" s="21"/>
      <c r="D31" s="9"/>
      <c r="E31" s="9"/>
      <c r="F31" s="9"/>
      <c r="G31" s="9"/>
      <c r="H31" s="9"/>
      <c r="I31" s="9"/>
      <c r="J31" s="9"/>
      <c r="K31" s="9"/>
      <c r="L31" s="9"/>
      <c r="M31" s="9"/>
      <c r="N31" s="9"/>
      <c r="O31" s="9"/>
      <c r="P31" s="9"/>
      <c r="Q31" s="23"/>
      <c r="R31" s="23"/>
    </row>
    <row r="32" spans="1:18" x14ac:dyDescent="0.2">
      <c r="A32" s="21"/>
      <c r="B32" s="26"/>
      <c r="C32" s="21"/>
      <c r="D32" s="9"/>
      <c r="E32" s="9"/>
      <c r="F32" s="9"/>
      <c r="G32" s="9"/>
      <c r="H32" s="9"/>
      <c r="I32" s="9"/>
      <c r="J32" s="9"/>
      <c r="K32" s="9"/>
      <c r="L32" s="9"/>
      <c r="M32" s="9"/>
      <c r="N32" s="9"/>
      <c r="O32" s="9"/>
      <c r="P32" s="9"/>
      <c r="Q32" s="23"/>
      <c r="R32" s="23"/>
    </row>
    <row r="33" spans="1:18" x14ac:dyDescent="0.2">
      <c r="A33" s="21"/>
      <c r="B33" s="26"/>
      <c r="C33" s="21"/>
      <c r="D33" s="9"/>
      <c r="E33" s="9"/>
      <c r="F33" s="9"/>
      <c r="G33" s="9"/>
      <c r="H33" s="9"/>
      <c r="I33" s="9"/>
      <c r="J33" s="9"/>
      <c r="K33" s="9"/>
      <c r="L33" s="9"/>
      <c r="M33" s="9"/>
      <c r="N33" s="9"/>
      <c r="O33" s="9"/>
      <c r="P33" s="9"/>
      <c r="Q33" s="23"/>
      <c r="R33" s="23"/>
    </row>
    <row r="34" spans="1:18" x14ac:dyDescent="0.2">
      <c r="A34" s="21"/>
      <c r="B34" s="26"/>
      <c r="C34" s="21"/>
      <c r="D34" s="9"/>
      <c r="E34" s="9"/>
      <c r="F34" s="9"/>
      <c r="G34" s="9"/>
      <c r="H34" s="9"/>
      <c r="I34" s="9"/>
      <c r="J34" s="9"/>
      <c r="K34" s="9"/>
      <c r="L34" s="9"/>
      <c r="M34" s="9"/>
      <c r="N34" s="9"/>
      <c r="O34" s="9"/>
      <c r="P34" s="9"/>
      <c r="Q34" s="23"/>
      <c r="R34" s="23"/>
    </row>
    <row r="35" spans="1:18" x14ac:dyDescent="0.2">
      <c r="A35" s="21"/>
      <c r="B35" s="26"/>
      <c r="C35" s="21"/>
      <c r="D35" s="9"/>
      <c r="E35" s="9"/>
      <c r="F35" s="9"/>
      <c r="G35" s="9"/>
      <c r="H35" s="9"/>
      <c r="I35" s="9"/>
      <c r="J35" s="9"/>
      <c r="K35" s="9"/>
      <c r="L35" s="9"/>
      <c r="M35" s="9"/>
      <c r="N35" s="9"/>
      <c r="O35" s="9"/>
      <c r="P35" s="9"/>
      <c r="Q35" s="23"/>
      <c r="R35" s="23"/>
    </row>
    <row r="36" spans="1:18" x14ac:dyDescent="0.2">
      <c r="A36" s="21"/>
      <c r="B36" s="26"/>
      <c r="C36" s="21"/>
      <c r="D36" s="9"/>
      <c r="E36" s="9"/>
      <c r="F36" s="9"/>
      <c r="G36" s="9"/>
      <c r="H36" s="9"/>
      <c r="I36" s="9"/>
      <c r="J36" s="9"/>
      <c r="K36" s="9"/>
      <c r="L36" s="9"/>
      <c r="M36" s="9"/>
      <c r="N36" s="9"/>
      <c r="O36" s="9"/>
      <c r="P36" s="9"/>
      <c r="Q36" s="23"/>
      <c r="R36" s="23"/>
    </row>
    <row r="37" spans="1:18" x14ac:dyDescent="0.2">
      <c r="A37" s="21"/>
      <c r="B37" s="26"/>
      <c r="C37" s="21"/>
      <c r="D37" s="9"/>
      <c r="E37" s="9"/>
      <c r="F37" s="9"/>
      <c r="G37" s="9"/>
      <c r="H37" s="9"/>
      <c r="I37" s="9"/>
      <c r="J37" s="9"/>
      <c r="K37" s="9"/>
      <c r="L37" s="9"/>
      <c r="M37" s="9"/>
      <c r="N37" s="9"/>
      <c r="O37" s="9"/>
      <c r="P37" s="9"/>
      <c r="Q37" s="23"/>
      <c r="R37" s="23"/>
    </row>
    <row r="38" spans="1:18" x14ac:dyDescent="0.2">
      <c r="A38" s="21"/>
      <c r="B38" s="26"/>
      <c r="C38" s="21"/>
      <c r="D38" s="9"/>
      <c r="E38" s="9"/>
      <c r="F38" s="9"/>
      <c r="G38" s="9"/>
      <c r="H38" s="9"/>
      <c r="I38" s="9"/>
      <c r="J38" s="9"/>
      <c r="K38" s="9"/>
      <c r="L38" s="9"/>
      <c r="M38" s="9"/>
      <c r="N38" s="9"/>
      <c r="O38" s="9"/>
      <c r="P38" s="9"/>
      <c r="Q38" s="23"/>
      <c r="R38" s="23"/>
    </row>
    <row r="39" spans="1:18" x14ac:dyDescent="0.2">
      <c r="A39" s="21"/>
      <c r="B39" s="26"/>
      <c r="C39" s="21"/>
      <c r="D39" s="9"/>
      <c r="E39" s="9"/>
      <c r="F39" s="9"/>
      <c r="G39" s="9"/>
      <c r="H39" s="9"/>
      <c r="I39" s="9"/>
      <c r="J39" s="9"/>
      <c r="K39" s="9"/>
      <c r="L39" s="9"/>
      <c r="M39" s="9"/>
      <c r="N39" s="9"/>
      <c r="O39" s="9"/>
      <c r="P39" s="9"/>
      <c r="Q39" s="23"/>
      <c r="R39" s="23"/>
    </row>
    <row r="40" spans="1:18" x14ac:dyDescent="0.2">
      <c r="A40" s="9"/>
      <c r="B40" s="9"/>
      <c r="C40" s="9"/>
      <c r="D40" s="9"/>
      <c r="E40" s="9"/>
      <c r="F40" s="9"/>
      <c r="G40" s="9"/>
      <c r="H40" s="9"/>
      <c r="I40" s="9"/>
      <c r="J40" s="9"/>
      <c r="K40" s="9"/>
      <c r="L40" s="9"/>
      <c r="M40" s="9"/>
      <c r="N40" s="9"/>
      <c r="O40" s="9"/>
      <c r="P40" s="9"/>
    </row>
    <row r="41" spans="1:18" x14ac:dyDescent="0.2">
      <c r="A41" s="9"/>
      <c r="B41" s="9"/>
      <c r="C41" s="9"/>
      <c r="D41" s="9"/>
      <c r="E41" s="9"/>
      <c r="F41" s="9"/>
      <c r="G41" s="9"/>
      <c r="H41" s="9"/>
      <c r="I41" s="9"/>
      <c r="J41" s="9"/>
      <c r="K41" s="9"/>
      <c r="L41" s="9"/>
      <c r="M41" s="9"/>
      <c r="N41" s="9"/>
      <c r="O41" s="9"/>
      <c r="P41" s="9"/>
    </row>
    <row r="42" spans="1:18" x14ac:dyDescent="0.2">
      <c r="A42" s="9"/>
      <c r="B42" s="9"/>
      <c r="C42" s="9"/>
      <c r="D42" s="9"/>
      <c r="E42" s="9"/>
      <c r="F42" s="9"/>
      <c r="G42" s="9"/>
      <c r="H42" s="9"/>
      <c r="I42" s="9"/>
      <c r="J42" s="9"/>
      <c r="K42" s="9"/>
      <c r="L42" s="9"/>
      <c r="M42" s="9"/>
      <c r="N42" s="9"/>
      <c r="O42" s="9"/>
      <c r="P42" s="9"/>
    </row>
    <row r="43" spans="1:18" x14ac:dyDescent="0.2">
      <c r="A43" s="9"/>
      <c r="B43" s="9"/>
      <c r="C43" s="9"/>
      <c r="D43" s="9"/>
      <c r="E43" s="9"/>
      <c r="F43" s="9"/>
      <c r="G43" s="9"/>
      <c r="H43" s="9"/>
      <c r="I43" s="9"/>
      <c r="J43" s="9"/>
      <c r="K43" s="9"/>
      <c r="L43" s="9"/>
      <c r="M43" s="9"/>
      <c r="N43" s="9"/>
      <c r="O43" s="9"/>
      <c r="P43" s="9"/>
    </row>
    <row r="44" spans="1:18" x14ac:dyDescent="0.2">
      <c r="A44" s="9"/>
      <c r="B44" s="9"/>
      <c r="C44" s="9"/>
      <c r="D44" s="9"/>
      <c r="E44" s="9"/>
      <c r="F44" s="9"/>
      <c r="G44" s="9"/>
      <c r="H44" s="9"/>
      <c r="I44" s="9"/>
      <c r="J44" s="9"/>
      <c r="K44" s="9"/>
      <c r="L44" s="9"/>
      <c r="M44" s="9"/>
      <c r="N44" s="9"/>
      <c r="O44" s="9"/>
      <c r="P44" s="9"/>
    </row>
    <row r="45" spans="1:18" x14ac:dyDescent="0.2">
      <c r="A45" s="9"/>
      <c r="B45" s="9"/>
      <c r="C45" s="9"/>
      <c r="D45" s="9"/>
      <c r="E45" s="9"/>
      <c r="F45" s="9"/>
      <c r="G45" s="9"/>
      <c r="H45" s="9"/>
      <c r="I45" s="9"/>
      <c r="J45" s="9"/>
      <c r="K45" s="9"/>
      <c r="L45" s="9"/>
      <c r="M45" s="9"/>
      <c r="N45" s="9"/>
      <c r="O45" s="9"/>
      <c r="P45" s="9"/>
    </row>
    <row r="46" spans="1:18" x14ac:dyDescent="0.2">
      <c r="A46" s="9"/>
      <c r="B46" s="9"/>
      <c r="C46" s="9"/>
      <c r="D46" s="9"/>
      <c r="E46" s="9"/>
      <c r="F46" s="9"/>
      <c r="G46" s="9"/>
      <c r="H46" s="9"/>
      <c r="I46" s="9"/>
      <c r="J46" s="9"/>
      <c r="K46" s="9"/>
      <c r="L46" s="9"/>
      <c r="M46" s="9"/>
      <c r="N46" s="9"/>
      <c r="O46" s="9"/>
      <c r="P46" s="9"/>
    </row>
    <row r="47" spans="1:18" x14ac:dyDescent="0.2">
      <c r="A47" s="9"/>
      <c r="B47" s="9"/>
      <c r="C47" s="9"/>
      <c r="D47" s="9"/>
      <c r="E47" s="9"/>
      <c r="F47" s="9"/>
      <c r="G47" s="9"/>
      <c r="H47" s="9"/>
      <c r="I47" s="9"/>
      <c r="J47" s="9"/>
      <c r="K47" s="9"/>
      <c r="L47" s="9"/>
      <c r="M47" s="9"/>
      <c r="N47" s="9"/>
      <c r="O47" s="9"/>
      <c r="P47" s="9"/>
    </row>
    <row r="48" spans="1:18" x14ac:dyDescent="0.2">
      <c r="A48" s="9"/>
      <c r="B48" s="9"/>
      <c r="C48" s="9"/>
      <c r="D48" s="9"/>
      <c r="E48" s="9"/>
      <c r="F48" s="9"/>
      <c r="G48" s="9"/>
      <c r="H48" s="9"/>
      <c r="I48" s="9"/>
      <c r="J48" s="9"/>
      <c r="K48" s="9"/>
      <c r="L48" s="9"/>
      <c r="M48" s="9"/>
      <c r="N48" s="9"/>
      <c r="O48" s="9"/>
      <c r="P48" s="9"/>
    </row>
    <row r="49" spans="1:16" x14ac:dyDescent="0.2">
      <c r="A49" s="9"/>
      <c r="B49" s="9"/>
      <c r="C49" s="9"/>
      <c r="D49" s="9"/>
      <c r="E49" s="9"/>
      <c r="F49" s="9"/>
      <c r="G49" s="9"/>
      <c r="H49" s="9"/>
      <c r="I49" s="9"/>
      <c r="J49" s="9"/>
      <c r="K49" s="9"/>
      <c r="L49" s="9"/>
      <c r="M49" s="9"/>
      <c r="N49" s="9"/>
      <c r="O49" s="9"/>
      <c r="P49" s="9"/>
    </row>
    <row r="50" spans="1:16" x14ac:dyDescent="0.2">
      <c r="A50" s="9"/>
      <c r="B50" s="9"/>
      <c r="C50" s="9"/>
      <c r="D50" s="9"/>
      <c r="E50" s="9"/>
      <c r="F50" s="9"/>
      <c r="G50" s="9"/>
      <c r="H50" s="9"/>
      <c r="I50" s="9"/>
      <c r="J50" s="9"/>
      <c r="K50" s="9"/>
      <c r="L50" s="9"/>
      <c r="M50" s="9"/>
      <c r="N50" s="9"/>
      <c r="O50" s="9"/>
      <c r="P50" s="9"/>
    </row>
    <row r="51" spans="1:16" x14ac:dyDescent="0.2">
      <c r="A51" s="9"/>
      <c r="B51" s="9"/>
      <c r="C51" s="9"/>
      <c r="D51" s="9"/>
      <c r="E51" s="9"/>
      <c r="F51" s="9"/>
      <c r="G51" s="9"/>
      <c r="H51" s="9"/>
      <c r="I51" s="9"/>
      <c r="J51" s="9"/>
      <c r="K51" s="9"/>
      <c r="L51" s="9"/>
      <c r="M51" s="9"/>
      <c r="N51" s="9"/>
      <c r="O51" s="9"/>
      <c r="P51" s="9"/>
    </row>
    <row r="52" spans="1:16" x14ac:dyDescent="0.2">
      <c r="A52" s="9"/>
      <c r="B52" s="9"/>
      <c r="C52" s="9"/>
      <c r="D52" s="9"/>
      <c r="E52" s="9"/>
      <c r="F52" s="9"/>
      <c r="G52" s="9"/>
      <c r="H52" s="9"/>
      <c r="I52" s="9"/>
      <c r="J52" s="9"/>
      <c r="K52" s="9"/>
      <c r="L52" s="9"/>
      <c r="M52" s="9"/>
      <c r="N52" s="9"/>
      <c r="O52" s="9"/>
      <c r="P52" s="9"/>
    </row>
    <row r="53" spans="1:16" x14ac:dyDescent="0.2">
      <c r="A53" s="9"/>
      <c r="B53" s="9"/>
      <c r="C53" s="9"/>
      <c r="D53" s="9"/>
      <c r="E53" s="9"/>
      <c r="F53" s="9"/>
      <c r="G53" s="9"/>
      <c r="H53" s="9"/>
      <c r="I53" s="9"/>
      <c r="J53" s="9"/>
      <c r="K53" s="9"/>
      <c r="L53" s="9"/>
      <c r="M53" s="9"/>
      <c r="N53" s="9"/>
      <c r="O53" s="9"/>
      <c r="P53" s="9"/>
    </row>
    <row r="54" spans="1:16" x14ac:dyDescent="0.2">
      <c r="A54" s="9"/>
      <c r="B54" s="9"/>
      <c r="C54" s="9"/>
      <c r="D54" s="9"/>
      <c r="E54" s="9"/>
      <c r="F54" s="9"/>
      <c r="G54" s="9"/>
      <c r="H54" s="9"/>
      <c r="I54" s="9"/>
      <c r="J54" s="9"/>
      <c r="K54" s="9"/>
      <c r="L54" s="9"/>
      <c r="M54" s="9"/>
      <c r="N54" s="9"/>
      <c r="O54" s="9"/>
      <c r="P54" s="9"/>
    </row>
    <row r="55" spans="1:16" x14ac:dyDescent="0.2">
      <c r="A55" s="9"/>
      <c r="B55" s="9"/>
      <c r="C55" s="9"/>
      <c r="D55" s="9"/>
      <c r="E55" s="9"/>
      <c r="F55" s="9"/>
      <c r="G55" s="9"/>
      <c r="H55" s="9"/>
      <c r="I55" s="9"/>
      <c r="J55" s="9"/>
      <c r="K55" s="9"/>
      <c r="L55" s="9"/>
      <c r="M55" s="9"/>
      <c r="N55" s="9"/>
      <c r="O55" s="9"/>
      <c r="P55" s="9"/>
    </row>
    <row r="56" spans="1:16" x14ac:dyDescent="0.2">
      <c r="A56" s="9"/>
      <c r="B56" s="9"/>
      <c r="C56" s="9"/>
      <c r="D56" s="9"/>
      <c r="E56" s="9"/>
      <c r="F56" s="9"/>
      <c r="G56" s="9"/>
      <c r="H56" s="9"/>
      <c r="I56" s="9"/>
      <c r="J56" s="9"/>
      <c r="K56" s="9"/>
      <c r="L56" s="9"/>
      <c r="M56" s="9"/>
      <c r="N56" s="9"/>
      <c r="O56" s="9"/>
      <c r="P56" s="9"/>
    </row>
    <row r="57" spans="1:16" x14ac:dyDescent="0.2">
      <c r="A57" s="9"/>
      <c r="B57" s="9"/>
      <c r="C57" s="9"/>
      <c r="D57" s="9"/>
      <c r="E57" s="9"/>
      <c r="F57" s="9"/>
      <c r="G57" s="9"/>
      <c r="H57" s="9"/>
      <c r="I57" s="9"/>
      <c r="J57" s="9"/>
      <c r="K57" s="9"/>
      <c r="L57" s="9"/>
      <c r="M57" s="9"/>
      <c r="N57" s="9"/>
      <c r="O57" s="9"/>
      <c r="P57" s="9"/>
    </row>
    <row r="58" spans="1:16" x14ac:dyDescent="0.2">
      <c r="A58" s="9"/>
      <c r="B58" s="9"/>
      <c r="C58" s="9"/>
      <c r="D58" s="9"/>
      <c r="E58" s="9"/>
      <c r="F58" s="9"/>
      <c r="G58" s="9"/>
      <c r="H58" s="9"/>
      <c r="I58" s="9"/>
      <c r="J58" s="9"/>
      <c r="K58" s="9"/>
      <c r="L58" s="9"/>
      <c r="M58" s="9"/>
      <c r="N58" s="9"/>
      <c r="O58" s="9"/>
      <c r="P58" s="9"/>
    </row>
    <row r="59" spans="1:16" x14ac:dyDescent="0.2">
      <c r="A59" s="9"/>
      <c r="B59" s="9"/>
      <c r="C59" s="9"/>
      <c r="D59" s="9"/>
      <c r="E59" s="9"/>
      <c r="F59" s="9"/>
      <c r="G59" s="9"/>
      <c r="H59" s="9"/>
      <c r="I59" s="9"/>
      <c r="J59" s="9"/>
      <c r="K59" s="9"/>
      <c r="L59" s="9"/>
      <c r="M59" s="9"/>
      <c r="N59" s="9"/>
      <c r="O59" s="9"/>
      <c r="P59" s="9"/>
    </row>
    <row r="60" spans="1:16" x14ac:dyDescent="0.2">
      <c r="A60" s="9"/>
      <c r="B60" s="9"/>
      <c r="C60" s="9"/>
      <c r="D60" s="9"/>
      <c r="E60" s="9"/>
      <c r="F60" s="9"/>
      <c r="G60" s="9"/>
      <c r="H60" s="9"/>
      <c r="I60" s="9"/>
      <c r="J60" s="9"/>
      <c r="K60" s="9"/>
      <c r="L60" s="9"/>
      <c r="M60" s="9"/>
      <c r="N60" s="9"/>
      <c r="O60" s="9"/>
      <c r="P60" s="9"/>
    </row>
    <row r="61" spans="1:16" x14ac:dyDescent="0.2">
      <c r="A61" s="9"/>
      <c r="B61" s="9"/>
      <c r="C61" s="9"/>
      <c r="D61" s="9"/>
      <c r="E61" s="9"/>
      <c r="F61" s="9"/>
      <c r="G61" s="9"/>
      <c r="H61" s="9"/>
      <c r="I61" s="9"/>
      <c r="J61" s="9"/>
      <c r="K61" s="9"/>
      <c r="L61" s="9"/>
      <c r="M61" s="9"/>
      <c r="N61" s="9"/>
      <c r="O61" s="9"/>
      <c r="P61" s="9"/>
    </row>
    <row r="62" spans="1:16" x14ac:dyDescent="0.2">
      <c r="A62" s="9"/>
      <c r="B62" s="9"/>
      <c r="C62" s="9"/>
      <c r="D62" s="9"/>
      <c r="E62" s="9"/>
      <c r="F62" s="9"/>
      <c r="G62" s="9"/>
      <c r="H62" s="9"/>
      <c r="I62" s="9"/>
      <c r="J62" s="9"/>
      <c r="K62" s="9"/>
      <c r="L62" s="9"/>
      <c r="M62" s="9"/>
      <c r="N62" s="9"/>
      <c r="O62" s="9"/>
      <c r="P62" s="9"/>
    </row>
    <row r="63" spans="1:16" x14ac:dyDescent="0.2">
      <c r="A63" s="9"/>
      <c r="B63" s="9"/>
      <c r="C63" s="9"/>
      <c r="D63" s="9"/>
      <c r="E63" s="9"/>
      <c r="F63" s="9"/>
      <c r="G63" s="9"/>
      <c r="H63" s="9"/>
      <c r="I63" s="9"/>
      <c r="J63" s="9"/>
      <c r="K63" s="9"/>
      <c r="L63" s="9"/>
      <c r="M63" s="9"/>
      <c r="N63" s="9"/>
      <c r="O63" s="9"/>
      <c r="P63" s="9"/>
    </row>
    <row r="64" spans="1:16" x14ac:dyDescent="0.2">
      <c r="A64" s="9"/>
      <c r="B64" s="9"/>
      <c r="C64" s="9"/>
      <c r="D64" s="9"/>
      <c r="E64" s="9"/>
      <c r="F64" s="9"/>
      <c r="G64" s="9"/>
      <c r="H64" s="9"/>
      <c r="I64" s="9"/>
      <c r="J64" s="9"/>
      <c r="K64" s="9"/>
      <c r="L64" s="9"/>
      <c r="M64" s="9"/>
      <c r="N64" s="9"/>
      <c r="O64" s="9"/>
      <c r="P64" s="9"/>
    </row>
    <row r="65" spans="1:16" x14ac:dyDescent="0.2">
      <c r="A65" s="9"/>
      <c r="B65" s="9"/>
      <c r="C65" s="9"/>
      <c r="D65" s="9"/>
      <c r="E65" s="9"/>
      <c r="F65" s="9"/>
      <c r="G65" s="9"/>
      <c r="H65" s="9"/>
      <c r="I65" s="9"/>
      <c r="J65" s="9"/>
      <c r="K65" s="9"/>
      <c r="L65" s="9"/>
      <c r="M65" s="9"/>
      <c r="N65" s="9"/>
      <c r="O65" s="9"/>
      <c r="P65" s="9"/>
    </row>
    <row r="66" spans="1:16" x14ac:dyDescent="0.2">
      <c r="A66" s="9"/>
      <c r="B66" s="9"/>
      <c r="C66" s="9"/>
      <c r="D66" s="9"/>
      <c r="E66" s="9"/>
      <c r="F66" s="9"/>
      <c r="G66" s="9"/>
      <c r="H66" s="9"/>
      <c r="I66" s="9"/>
      <c r="J66" s="9"/>
      <c r="K66" s="9"/>
      <c r="L66" s="9"/>
      <c r="M66" s="9"/>
      <c r="N66" s="9"/>
      <c r="O66" s="9"/>
      <c r="P66" s="9"/>
    </row>
    <row r="67" spans="1:16" x14ac:dyDescent="0.2">
      <c r="A67" s="9"/>
      <c r="B67" s="9"/>
      <c r="C67" s="9"/>
      <c r="D67" s="9"/>
      <c r="E67" s="9"/>
      <c r="F67" s="9"/>
      <c r="G67" s="9"/>
      <c r="H67" s="9"/>
      <c r="I67" s="9"/>
      <c r="J67" s="9"/>
      <c r="K67" s="9"/>
      <c r="L67" s="9"/>
      <c r="M67" s="9"/>
      <c r="N67" s="9"/>
      <c r="O67" s="9"/>
      <c r="P67" s="9"/>
    </row>
    <row r="68" spans="1:16" x14ac:dyDescent="0.2">
      <c r="A68" s="9"/>
      <c r="B68" s="9"/>
      <c r="C68" s="9"/>
      <c r="D68" s="9"/>
      <c r="E68" s="9"/>
      <c r="F68" s="9"/>
      <c r="G68" s="9"/>
      <c r="H68" s="9"/>
      <c r="I68" s="9"/>
      <c r="J68" s="9"/>
      <c r="K68" s="9"/>
      <c r="L68" s="9"/>
      <c r="M68" s="9"/>
      <c r="N68" s="9"/>
      <c r="O68" s="9"/>
      <c r="P68" s="9"/>
    </row>
    <row r="69" spans="1:16" x14ac:dyDescent="0.2">
      <c r="A69" s="9"/>
      <c r="B69" s="9"/>
      <c r="C69" s="9"/>
      <c r="D69" s="9"/>
      <c r="E69" s="9"/>
      <c r="F69" s="9"/>
      <c r="G69" s="9"/>
      <c r="H69" s="9"/>
      <c r="I69" s="9"/>
      <c r="J69" s="9"/>
      <c r="K69" s="9"/>
      <c r="L69" s="9"/>
      <c r="M69" s="9"/>
      <c r="N69" s="9"/>
      <c r="O69" s="9"/>
      <c r="P69" s="9"/>
    </row>
    <row r="70" spans="1:16" x14ac:dyDescent="0.2">
      <c r="A70" s="9"/>
      <c r="B70" s="9"/>
      <c r="C70" s="9"/>
      <c r="D70" s="9"/>
      <c r="E70" s="9"/>
      <c r="F70" s="9"/>
      <c r="G70" s="9"/>
      <c r="H70" s="9"/>
      <c r="I70" s="9"/>
      <c r="J70" s="9"/>
      <c r="K70" s="9"/>
      <c r="L70" s="9"/>
      <c r="M70" s="9"/>
      <c r="N70" s="9"/>
      <c r="O70" s="9"/>
      <c r="P70" s="9"/>
    </row>
    <row r="71" spans="1:16" x14ac:dyDescent="0.2">
      <c r="A71" s="9"/>
      <c r="B71" s="9"/>
      <c r="C71" s="9"/>
      <c r="D71" s="9"/>
      <c r="E71" s="9"/>
      <c r="F71" s="9"/>
      <c r="G71" s="9"/>
      <c r="H71" s="9"/>
      <c r="I71" s="9"/>
      <c r="J71" s="9"/>
      <c r="K71" s="9"/>
      <c r="L71" s="9"/>
      <c r="M71" s="9"/>
      <c r="N71" s="9"/>
      <c r="O71" s="9"/>
      <c r="P71" s="9"/>
    </row>
    <row r="72" spans="1:16" x14ac:dyDescent="0.2">
      <c r="A72" s="9"/>
      <c r="B72" s="9"/>
      <c r="C72" s="9"/>
      <c r="D72" s="9"/>
      <c r="E72" s="9"/>
      <c r="F72" s="9"/>
      <c r="G72" s="9"/>
      <c r="H72" s="9"/>
      <c r="I72" s="9"/>
      <c r="J72" s="9"/>
      <c r="K72" s="9"/>
      <c r="L72" s="9"/>
      <c r="M72" s="9"/>
      <c r="N72" s="9"/>
      <c r="O72" s="9"/>
      <c r="P72" s="9"/>
    </row>
    <row r="73" spans="1:16" x14ac:dyDescent="0.2">
      <c r="A73" s="9"/>
      <c r="B73" s="9"/>
      <c r="C73" s="9"/>
      <c r="D73" s="9"/>
      <c r="E73" s="9"/>
      <c r="F73" s="9"/>
      <c r="G73" s="9"/>
      <c r="H73" s="9"/>
      <c r="I73" s="9"/>
      <c r="J73" s="9"/>
      <c r="K73" s="9"/>
      <c r="L73" s="9"/>
      <c r="M73" s="9"/>
      <c r="N73" s="9"/>
      <c r="O73" s="9"/>
      <c r="P73" s="9"/>
    </row>
    <row r="74" spans="1:16" x14ac:dyDescent="0.2">
      <c r="A74" s="9"/>
      <c r="B74" s="9"/>
      <c r="C74" s="9"/>
      <c r="D74" s="9"/>
      <c r="E74" s="9"/>
      <c r="F74" s="9"/>
      <c r="G74" s="9"/>
      <c r="H74" s="9"/>
      <c r="I74" s="9"/>
      <c r="J74" s="9"/>
      <c r="K74" s="9"/>
      <c r="L74" s="9"/>
      <c r="M74" s="9"/>
      <c r="N74" s="9"/>
      <c r="O74" s="9"/>
      <c r="P74" s="9"/>
    </row>
    <row r="75" spans="1:16" x14ac:dyDescent="0.2">
      <c r="A75" s="9"/>
      <c r="B75" s="9"/>
      <c r="C75" s="9"/>
      <c r="D75" s="9"/>
      <c r="E75" s="9"/>
      <c r="F75" s="9"/>
      <c r="G75" s="9"/>
      <c r="H75" s="9"/>
      <c r="I75" s="9"/>
      <c r="J75" s="9"/>
      <c r="K75" s="9"/>
      <c r="L75" s="9"/>
      <c r="M75" s="9"/>
      <c r="N75" s="9"/>
      <c r="O75" s="9"/>
      <c r="P75" s="9"/>
    </row>
    <row r="76" spans="1:16" x14ac:dyDescent="0.2">
      <c r="A76" s="9"/>
      <c r="B76" s="9"/>
      <c r="C76" s="9"/>
      <c r="D76" s="9"/>
      <c r="E76" s="9"/>
      <c r="F76" s="9"/>
      <c r="G76" s="9"/>
      <c r="H76" s="9"/>
      <c r="I76" s="9"/>
      <c r="J76" s="9"/>
      <c r="K76" s="9"/>
      <c r="L76" s="9"/>
      <c r="M76" s="9"/>
      <c r="N76" s="9"/>
      <c r="O76" s="9"/>
      <c r="P76" s="9"/>
    </row>
    <row r="77" spans="1:16" x14ac:dyDescent="0.2">
      <c r="A77" s="9"/>
      <c r="B77" s="9"/>
      <c r="C77" s="9"/>
      <c r="D77" s="9"/>
      <c r="E77" s="9"/>
      <c r="F77" s="9"/>
      <c r="G77" s="9"/>
      <c r="H77" s="9"/>
      <c r="I77" s="9"/>
      <c r="J77" s="9"/>
      <c r="K77" s="9"/>
      <c r="L77" s="9"/>
      <c r="M77" s="9"/>
      <c r="N77" s="9"/>
      <c r="O77" s="9"/>
      <c r="P77" s="9"/>
    </row>
    <row r="78" spans="1:16" x14ac:dyDescent="0.2">
      <c r="A78" s="9"/>
      <c r="B78" s="9"/>
      <c r="C78" s="9"/>
      <c r="D78" s="9"/>
      <c r="E78" s="9"/>
      <c r="F78" s="9"/>
      <c r="G78" s="9"/>
      <c r="H78" s="9"/>
      <c r="I78" s="9"/>
      <c r="J78" s="9"/>
      <c r="K78" s="9"/>
      <c r="L78" s="9"/>
      <c r="M78" s="9"/>
      <c r="N78" s="9"/>
      <c r="O78" s="9"/>
      <c r="P78" s="9"/>
    </row>
    <row r="79" spans="1:16" x14ac:dyDescent="0.2">
      <c r="A79" s="9"/>
      <c r="B79" s="9"/>
      <c r="C79" s="9"/>
      <c r="D79" s="9"/>
      <c r="E79" s="9"/>
      <c r="F79" s="9"/>
      <c r="G79" s="9"/>
      <c r="H79" s="9"/>
      <c r="I79" s="9"/>
      <c r="J79" s="9"/>
      <c r="K79" s="9"/>
      <c r="L79" s="9"/>
      <c r="M79" s="9"/>
      <c r="N79" s="9"/>
      <c r="O79" s="9"/>
      <c r="P79" s="9"/>
    </row>
    <row r="80" spans="1:16" x14ac:dyDescent="0.2">
      <c r="A80" s="9"/>
      <c r="B80" s="9"/>
      <c r="C80" s="9"/>
      <c r="D80" s="9"/>
      <c r="E80" s="9"/>
      <c r="F80" s="9"/>
      <c r="G80" s="9"/>
      <c r="H80" s="9"/>
      <c r="I80" s="9"/>
      <c r="J80" s="9"/>
      <c r="K80" s="9"/>
      <c r="L80" s="9"/>
      <c r="M80" s="9"/>
      <c r="N80" s="9"/>
      <c r="O80" s="9"/>
      <c r="P80" s="9"/>
    </row>
    <row r="81" spans="1:16" x14ac:dyDescent="0.2">
      <c r="A81" s="9"/>
      <c r="B81" s="9"/>
      <c r="C81" s="9"/>
      <c r="D81" s="9"/>
      <c r="E81" s="9"/>
      <c r="F81" s="9"/>
      <c r="G81" s="9"/>
      <c r="H81" s="9"/>
      <c r="I81" s="9"/>
      <c r="J81" s="9"/>
      <c r="K81" s="9"/>
      <c r="L81" s="9"/>
      <c r="M81" s="9"/>
      <c r="N81" s="9"/>
      <c r="O81" s="9"/>
      <c r="P81" s="9"/>
    </row>
    <row r="82" spans="1:16" x14ac:dyDescent="0.2">
      <c r="A82" s="9"/>
      <c r="B82" s="9"/>
      <c r="C82" s="9"/>
      <c r="D82" s="9"/>
      <c r="E82" s="9"/>
      <c r="F82" s="9"/>
      <c r="G82" s="9"/>
      <c r="H82" s="9"/>
      <c r="I82" s="9"/>
      <c r="J82" s="9"/>
      <c r="K82" s="9"/>
      <c r="L82" s="9"/>
      <c r="M82" s="9"/>
      <c r="N82" s="9"/>
      <c r="O82" s="9"/>
      <c r="P82" s="9"/>
    </row>
    <row r="83" spans="1:16" x14ac:dyDescent="0.2">
      <c r="A83" s="9"/>
      <c r="B83" s="9"/>
      <c r="C83" s="9"/>
      <c r="D83" s="9"/>
      <c r="E83" s="9"/>
      <c r="F83" s="9"/>
      <c r="G83" s="9"/>
      <c r="H83" s="9"/>
      <c r="I83" s="9"/>
      <c r="J83" s="9"/>
      <c r="K83" s="9"/>
      <c r="L83" s="9"/>
      <c r="M83" s="9"/>
      <c r="N83" s="9"/>
      <c r="O83" s="9"/>
      <c r="P83" s="9"/>
    </row>
    <row r="84" spans="1:16" x14ac:dyDescent="0.2">
      <c r="A84" s="9"/>
      <c r="B84" s="9"/>
      <c r="C84" s="9"/>
      <c r="D84" s="9"/>
      <c r="E84" s="9"/>
      <c r="F84" s="9"/>
      <c r="G84" s="9"/>
      <c r="H84" s="9"/>
      <c r="I84" s="9"/>
      <c r="J84" s="9"/>
      <c r="K84" s="9"/>
      <c r="L84" s="9"/>
      <c r="M84" s="9"/>
      <c r="N84" s="9"/>
      <c r="O84" s="9"/>
      <c r="P84" s="9"/>
    </row>
    <row r="85" spans="1:16" x14ac:dyDescent="0.2">
      <c r="A85" s="9"/>
      <c r="B85" s="9"/>
      <c r="C85" s="9"/>
      <c r="D85" s="9"/>
      <c r="E85" s="9"/>
      <c r="F85" s="9"/>
      <c r="G85" s="9"/>
      <c r="H85" s="9"/>
      <c r="I85" s="9"/>
      <c r="J85" s="9"/>
      <c r="K85" s="9"/>
      <c r="L85" s="9"/>
      <c r="M85" s="9"/>
      <c r="N85" s="9"/>
      <c r="O85" s="9"/>
      <c r="P85" s="9"/>
    </row>
  </sheetData>
  <mergeCells count="2">
    <mergeCell ref="A1:C1"/>
    <mergeCell ref="A3:C3"/>
  </mergeCells>
  <phoneticPr fontId="1" type="noConversion"/>
  <dataValidations count="3">
    <dataValidation type="list" allowBlank="1" showInputMessage="1" showErrorMessage="1" sqref="N21:N23 M5:M30">
      <formula1>版本名称</formula1>
    </dataValidation>
    <dataValidation type="list" allowBlank="1" showInputMessage="1" showErrorMessage="1" sqref="H5:H30">
      <formula1>"已提交,处理中,已上线,已挂起"</formula1>
    </dataValidation>
    <dataValidation type="list" allowBlank="1" showInputMessage="1" showErrorMessage="1" sqref="I5:I25">
      <formula1>"高,中,低"</formula1>
    </dataValidation>
  </dataValidations>
  <pageMargins left="0.75" right="0.75" top="1" bottom="1" header="0.5" footer="0.5"/>
  <pageSetup paperSize="9" orientation="portrait" horizontalDpi="0" verticalDpi="0"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H14"/>
  <sheetViews>
    <sheetView topLeftCell="A4" workbookViewId="0">
      <selection activeCell="E12" sqref="E12"/>
    </sheetView>
  </sheetViews>
  <sheetFormatPr defaultRowHeight="12.75" x14ac:dyDescent="0.2"/>
  <cols>
    <col min="1" max="1" width="2" customWidth="1"/>
    <col min="2" max="2" width="24.85546875" customWidth="1"/>
    <col min="3" max="3" width="15.5703125" customWidth="1"/>
    <col min="4" max="4" width="30.42578125" customWidth="1"/>
    <col min="5" max="6" width="14.5703125" customWidth="1"/>
    <col min="7" max="8" width="19" customWidth="1"/>
  </cols>
  <sheetData>
    <row r="2" spans="2:8" ht="33.75" customHeight="1" x14ac:dyDescent="0.25">
      <c r="B2" s="144" t="s">
        <v>81</v>
      </c>
      <c r="C2" s="145"/>
      <c r="D2" s="145"/>
      <c r="E2" s="145"/>
      <c r="F2" s="145"/>
      <c r="G2" s="145"/>
      <c r="H2" s="146"/>
    </row>
    <row r="3" spans="2:8" ht="159.75" customHeight="1" x14ac:dyDescent="0.2">
      <c r="B3" s="147" t="s">
        <v>82</v>
      </c>
      <c r="C3" s="148"/>
      <c r="D3" s="148"/>
      <c r="E3" s="148"/>
      <c r="F3" s="148"/>
      <c r="G3" s="148"/>
      <c r="H3" s="148"/>
    </row>
    <row r="4" spans="2:8" ht="13.5" customHeight="1" x14ac:dyDescent="0.2"/>
    <row r="5" spans="2:8" ht="16.5" customHeight="1" x14ac:dyDescent="0.2">
      <c r="B5" s="16" t="s">
        <v>79</v>
      </c>
      <c r="C5" s="19">
        <f>COUNT(B9:B36)</f>
        <v>0</v>
      </c>
    </row>
    <row r="6" spans="2:8" s="50" customFormat="1" ht="19.5" customHeight="1" x14ac:dyDescent="0.2">
      <c r="B6" s="49"/>
      <c r="C6" s="37"/>
    </row>
    <row r="7" spans="2:8" ht="18.75" customHeight="1" x14ac:dyDescent="0.2">
      <c r="B7" s="18" t="s">
        <v>80</v>
      </c>
    </row>
    <row r="8" spans="2:8" ht="24.75" x14ac:dyDescent="0.2">
      <c r="B8" s="17" t="s">
        <v>63</v>
      </c>
      <c r="C8" s="17" t="s">
        <v>44</v>
      </c>
      <c r="D8" s="17" t="s">
        <v>46</v>
      </c>
      <c r="E8" s="17" t="s">
        <v>48</v>
      </c>
      <c r="F8" s="17" t="s">
        <v>96</v>
      </c>
      <c r="G8" s="17" t="s">
        <v>83</v>
      </c>
      <c r="H8" s="17" t="s">
        <v>84</v>
      </c>
    </row>
    <row r="9" spans="2:8" ht="13.5" customHeight="1" x14ac:dyDescent="0.2">
      <c r="B9" s="19"/>
      <c r="C9" s="27"/>
      <c r="D9" s="19"/>
      <c r="E9" s="19"/>
      <c r="F9" s="19"/>
      <c r="G9" s="19"/>
      <c r="H9" s="19"/>
    </row>
    <row r="10" spans="2:8" ht="13.5" customHeight="1" x14ac:dyDescent="0.2">
      <c r="B10" s="19"/>
      <c r="C10" s="27"/>
      <c r="D10" s="19"/>
      <c r="E10" s="19"/>
      <c r="F10" s="19"/>
      <c r="G10" s="19"/>
      <c r="H10" s="19"/>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2.75" customHeight="1" x14ac:dyDescent="0.2">
      <c r="B14" s="19"/>
      <c r="C14" s="27"/>
      <c r="D14" s="19"/>
      <c r="E14" s="19"/>
      <c r="F14" s="19"/>
      <c r="G14" s="19"/>
      <c r="H14" s="19"/>
    </row>
  </sheetData>
  <mergeCells count="2">
    <mergeCell ref="B2:H2"/>
    <mergeCell ref="B3:H3"/>
  </mergeCells>
  <phoneticPr fontId="1" type="noConversion"/>
  <dataValidations count="1">
    <dataValidation type="list" allowBlank="1" showInputMessage="1" showErrorMessage="1" sqref="G9:G14">
      <formula1>"合并到其他ISR,已有其他方案,用户取消,用户需求变更,用户需求重复提交,当前技术无法实现,缺乏公司业务政策支持/业务政策即将失效"</formula1>
    </dataValidation>
  </dataValidations>
  <pageMargins left="0.75" right="0.75" top="1" bottom="1" header="0.5" footer="0.5"/>
  <pageSetup paperSize="9"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H18"/>
  <sheetViews>
    <sheetView workbookViewId="0">
      <selection activeCell="C5" sqref="C5"/>
    </sheetView>
  </sheetViews>
  <sheetFormatPr defaultRowHeight="12.75" x14ac:dyDescent="0.2"/>
  <cols>
    <col min="1" max="1" width="2" customWidth="1"/>
    <col min="2" max="2" width="24.85546875" customWidth="1"/>
    <col min="3" max="3" width="15.5703125" customWidth="1"/>
    <col min="4" max="4" width="30.42578125" customWidth="1"/>
    <col min="5" max="5" width="15.85546875" customWidth="1"/>
    <col min="6" max="6" width="16" customWidth="1"/>
    <col min="7" max="7" width="11.7109375" customWidth="1"/>
    <col min="8" max="8" width="11.5703125" customWidth="1"/>
  </cols>
  <sheetData>
    <row r="2" spans="2:8" ht="33.75" customHeight="1" x14ac:dyDescent="0.25">
      <c r="B2" s="144" t="s">
        <v>95</v>
      </c>
      <c r="C2" s="145"/>
      <c r="D2" s="145"/>
      <c r="E2" s="145"/>
      <c r="F2" s="145"/>
      <c r="G2" s="145"/>
      <c r="H2" s="146"/>
    </row>
    <row r="3" spans="2:8" ht="93.75" customHeight="1" x14ac:dyDescent="0.2">
      <c r="B3" s="147" t="s">
        <v>88</v>
      </c>
      <c r="C3" s="148"/>
      <c r="D3" s="148"/>
      <c r="E3" s="148"/>
      <c r="F3" s="148"/>
      <c r="G3" s="148"/>
      <c r="H3" s="148"/>
    </row>
    <row r="4" spans="2:8" ht="13.5" customHeight="1" x14ac:dyDescent="0.2"/>
    <row r="5" spans="2:8" ht="18" customHeight="1" x14ac:dyDescent="0.2">
      <c r="B5" s="16" t="s">
        <v>86</v>
      </c>
      <c r="C5" s="19">
        <f>COUNTIF(ISR清单!I4:I47,"待分析")</f>
        <v>0</v>
      </c>
      <c r="D5" s="51"/>
    </row>
    <row r="6" spans="2:8" ht="18" customHeight="1" x14ac:dyDescent="0.2">
      <c r="B6" s="16" t="s">
        <v>85</v>
      </c>
      <c r="C6" s="19">
        <f>COUNTIF(ISR清单!I4:I47,"待排期")</f>
        <v>0</v>
      </c>
    </row>
    <row r="7" spans="2:8" ht="18" customHeight="1" x14ac:dyDescent="0.2">
      <c r="B7" s="35" t="s">
        <v>87</v>
      </c>
      <c r="C7" s="16">
        <f>COUNTIF(ISR清单!I4:I47,"已挂起")</f>
        <v>0</v>
      </c>
    </row>
    <row r="8" spans="2:8" s="50" customFormat="1" ht="19.5" customHeight="1" x14ac:dyDescent="0.2">
      <c r="B8" s="49"/>
      <c r="C8" s="37"/>
    </row>
    <row r="9" spans="2:8" ht="18.75" customHeight="1" x14ac:dyDescent="0.2">
      <c r="B9" s="18" t="s">
        <v>78</v>
      </c>
    </row>
    <row r="10" spans="2:8" x14ac:dyDescent="0.2">
      <c r="B10" s="17" t="s">
        <v>63</v>
      </c>
      <c r="C10" s="17" t="s">
        <v>44</v>
      </c>
      <c r="D10" s="17" t="s">
        <v>46</v>
      </c>
      <c r="E10" s="17" t="s">
        <v>48</v>
      </c>
      <c r="F10" s="17" t="s">
        <v>96</v>
      </c>
      <c r="G10" s="17" t="s">
        <v>53</v>
      </c>
      <c r="H10" s="17" t="s">
        <v>84</v>
      </c>
    </row>
    <row r="11" spans="2:8" ht="13.5" customHeight="1" x14ac:dyDescent="0.2">
      <c r="B11" s="19"/>
      <c r="C11" s="27"/>
      <c r="D11" s="19"/>
      <c r="E11" s="19"/>
      <c r="F11" s="19"/>
      <c r="G11" s="19"/>
      <c r="H11" s="19"/>
    </row>
    <row r="12" spans="2:8" ht="13.5" customHeight="1" x14ac:dyDescent="0.2">
      <c r="B12" s="19"/>
      <c r="C12" s="27"/>
      <c r="D12" s="19"/>
      <c r="E12" s="19"/>
      <c r="F12" s="19"/>
      <c r="G12" s="19"/>
      <c r="H12" s="19"/>
    </row>
    <row r="13" spans="2:8" ht="13.5" customHeight="1" x14ac:dyDescent="0.2">
      <c r="B13" s="19"/>
      <c r="C13" s="27"/>
      <c r="D13" s="19"/>
      <c r="E13" s="19"/>
      <c r="F13" s="19"/>
      <c r="G13" s="19"/>
      <c r="H13" s="19"/>
    </row>
    <row r="14" spans="2:8" ht="13.5" customHeight="1" x14ac:dyDescent="0.2">
      <c r="B14" s="19"/>
      <c r="C14" s="27"/>
      <c r="D14" s="19"/>
      <c r="E14" s="19"/>
      <c r="F14" s="19"/>
      <c r="G14" s="19"/>
      <c r="H14" s="19"/>
    </row>
    <row r="15" spans="2:8" ht="13.5" customHeight="1" x14ac:dyDescent="0.2">
      <c r="B15" s="19"/>
      <c r="C15" s="27"/>
      <c r="D15" s="19"/>
      <c r="E15" s="19"/>
      <c r="F15" s="19"/>
      <c r="G15" s="19"/>
      <c r="H15" s="19"/>
    </row>
    <row r="16" spans="2:8" ht="12.75" customHeight="1" x14ac:dyDescent="0.2">
      <c r="B16" s="19"/>
      <c r="C16" s="27"/>
      <c r="D16" s="19"/>
      <c r="E16" s="19"/>
      <c r="F16" s="19"/>
      <c r="G16" s="19"/>
      <c r="H16" s="19"/>
    </row>
    <row r="18" spans="2:7" ht="67.5" customHeight="1" x14ac:dyDescent="0.2">
      <c r="B18" s="149" t="s">
        <v>94</v>
      </c>
      <c r="C18" s="150"/>
      <c r="D18" s="150"/>
      <c r="E18" s="150"/>
      <c r="F18" s="150"/>
      <c r="G18" s="150"/>
    </row>
  </sheetData>
  <mergeCells count="3">
    <mergeCell ref="B2:H2"/>
    <mergeCell ref="B3:H3"/>
    <mergeCell ref="B18:G18"/>
  </mergeCells>
  <phoneticPr fontId="1" type="noConversion"/>
  <dataValidations disablePrompts="1" count="1">
    <dataValidation type="list" allowBlank="1" showInputMessage="1" showErrorMessage="1" sqref="G11:G16">
      <formula1>"待分析,待排期,挂起1,挂起2"</formula1>
    </dataValidation>
  </dataValidations>
  <pageMargins left="0.75" right="0.75" top="1" bottom="1" header="0.5" footer="0.5"/>
  <pageSetup paperSize="9" orientation="portrait" horizontalDpi="300" verticalDpi="3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H38"/>
  <sheetViews>
    <sheetView topLeftCell="A21" workbookViewId="0">
      <selection activeCell="C38" sqref="C38:H38"/>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8" ht="33.75" customHeight="1" x14ac:dyDescent="0.25">
      <c r="B2" s="159" t="s">
        <v>57</v>
      </c>
      <c r="C2" s="160"/>
      <c r="D2" s="160"/>
      <c r="E2" s="160"/>
      <c r="F2" s="160"/>
      <c r="G2" s="160"/>
      <c r="H2" s="161"/>
    </row>
    <row r="3" spans="2:8" ht="141.75" customHeight="1" x14ac:dyDescent="0.2">
      <c r="B3" s="162" t="s">
        <v>100</v>
      </c>
      <c r="C3" s="163"/>
      <c r="D3" s="163"/>
      <c r="E3" s="163"/>
      <c r="F3" s="163"/>
      <c r="G3" s="163"/>
      <c r="H3" s="164"/>
    </row>
    <row r="4" spans="2:8" ht="13.5" customHeight="1" x14ac:dyDescent="0.2"/>
    <row r="5" spans="2:8" x14ac:dyDescent="0.2">
      <c r="B5" s="16" t="s">
        <v>61</v>
      </c>
      <c r="C5" s="9" t="s">
        <v>93</v>
      </c>
    </row>
    <row r="6" spans="2:8" ht="14.25" customHeight="1" x14ac:dyDescent="0.2">
      <c r="B6" s="16" t="s">
        <v>86</v>
      </c>
      <c r="C6" s="19">
        <f>COUNTIF(ISR清单!I4:I47,"待分析")</f>
        <v>0</v>
      </c>
    </row>
    <row r="7" spans="2:8" ht="14.25" customHeight="1" x14ac:dyDescent="0.2">
      <c r="B7" s="16" t="s">
        <v>85</v>
      </c>
      <c r="C7" s="19">
        <f>COUNTIF(ISR清单!I4:I47,"待排期")</f>
        <v>0</v>
      </c>
    </row>
    <row r="8" spans="2:8" ht="14.25" customHeight="1" x14ac:dyDescent="0.2">
      <c r="B8" s="35" t="s">
        <v>87</v>
      </c>
      <c r="C8" s="16">
        <f>COUNTIF(ISR清单!I4:I47,"已挂起")</f>
        <v>0</v>
      </c>
    </row>
    <row r="9" spans="2:8" ht="14.25" customHeight="1" x14ac:dyDescent="0.2">
      <c r="B9" s="16" t="s">
        <v>89</v>
      </c>
      <c r="C9" s="19">
        <f>本月退回ISR清单!C5</f>
        <v>0</v>
      </c>
    </row>
    <row r="10" spans="2:8" s="50" customFormat="1" x14ac:dyDescent="0.2">
      <c r="B10" s="49"/>
      <c r="C10" s="38"/>
    </row>
    <row r="11" spans="2:8" x14ac:dyDescent="0.2">
      <c r="B11" s="18" t="s">
        <v>17</v>
      </c>
      <c r="C11" s="23"/>
      <c r="D11" s="23"/>
      <c r="E11" s="23"/>
      <c r="F11" s="23"/>
      <c r="G11" s="23"/>
      <c r="H11" s="23"/>
    </row>
    <row r="12" spans="2:8" x14ac:dyDescent="0.2">
      <c r="B12" s="17" t="s">
        <v>18</v>
      </c>
      <c r="C12" s="17" t="s">
        <v>59</v>
      </c>
      <c r="D12" s="43" t="s">
        <v>58</v>
      </c>
      <c r="E12" s="47"/>
      <c r="F12" s="46"/>
      <c r="G12" s="46"/>
    </row>
    <row r="13" spans="2:8" x14ac:dyDescent="0.2">
      <c r="B13" s="24" t="s">
        <v>75</v>
      </c>
      <c r="C13" s="25"/>
      <c r="D13" s="44"/>
      <c r="E13" s="45"/>
      <c r="F13" s="38"/>
      <c r="G13" s="38"/>
    </row>
    <row r="14" spans="2:8" x14ac:dyDescent="0.2">
      <c r="B14" s="24" t="s">
        <v>74</v>
      </c>
      <c r="C14" s="25"/>
      <c r="D14" s="44"/>
      <c r="E14" s="45"/>
      <c r="F14" s="38"/>
      <c r="G14" s="38"/>
    </row>
    <row r="15" spans="2:8" x14ac:dyDescent="0.2">
      <c r="B15" s="41" t="s">
        <v>73</v>
      </c>
      <c r="C15" s="25"/>
      <c r="D15" s="44"/>
      <c r="E15" s="45"/>
      <c r="F15" s="38"/>
      <c r="G15" s="38"/>
    </row>
    <row r="16" spans="2:8" x14ac:dyDescent="0.2">
      <c r="B16" s="24" t="s">
        <v>19</v>
      </c>
      <c r="C16" s="25"/>
      <c r="D16" s="44"/>
      <c r="E16" s="45"/>
      <c r="F16" s="38"/>
      <c r="G16" s="38"/>
    </row>
    <row r="18" spans="2:8" x14ac:dyDescent="0.2">
      <c r="B18" s="18" t="s">
        <v>68</v>
      </c>
    </row>
    <row r="19" spans="2:8" ht="24.75" x14ac:dyDescent="0.2">
      <c r="B19" s="17" t="s">
        <v>63</v>
      </c>
      <c r="C19" s="17" t="s">
        <v>44</v>
      </c>
      <c r="D19" s="17" t="s">
        <v>46</v>
      </c>
      <c r="E19" s="17" t="s">
        <v>48</v>
      </c>
      <c r="F19" s="53" t="s">
        <v>98</v>
      </c>
      <c r="G19" s="17" t="s">
        <v>49</v>
      </c>
      <c r="H19" s="17" t="s">
        <v>56</v>
      </c>
    </row>
    <row r="20" spans="2:8" ht="13.5" customHeight="1" x14ac:dyDescent="0.2">
      <c r="B20" s="19"/>
      <c r="C20" s="27"/>
      <c r="D20" s="19"/>
      <c r="E20" s="19"/>
      <c r="F20" s="19"/>
      <c r="G20" s="19"/>
      <c r="H20" s="19"/>
    </row>
    <row r="21" spans="2:8" ht="13.5" customHeight="1" x14ac:dyDescent="0.2">
      <c r="B21" s="19"/>
      <c r="C21" s="27"/>
      <c r="D21" s="19"/>
      <c r="E21" s="19"/>
      <c r="F21" s="19"/>
      <c r="G21" s="19"/>
      <c r="H21" s="19"/>
    </row>
    <row r="22" spans="2:8" ht="13.5" customHeight="1" x14ac:dyDescent="0.2">
      <c r="B22" s="19"/>
      <c r="C22" s="27"/>
      <c r="D22" s="19"/>
      <c r="E22" s="19"/>
      <c r="F22" s="19"/>
      <c r="G22" s="19"/>
      <c r="H22" s="19"/>
    </row>
    <row r="23" spans="2:8" ht="12.75" customHeight="1" x14ac:dyDescent="0.2">
      <c r="B23" s="19"/>
      <c r="C23" s="27"/>
      <c r="D23" s="19"/>
      <c r="E23" s="19"/>
      <c r="F23" s="19"/>
      <c r="G23" s="19"/>
      <c r="H23" s="19"/>
    </row>
    <row r="24" spans="2:8" x14ac:dyDescent="0.2">
      <c r="B24" s="18"/>
      <c r="C24" s="23"/>
      <c r="D24" s="23"/>
      <c r="E24" s="23"/>
      <c r="F24" s="23"/>
      <c r="G24" s="23"/>
      <c r="H24" s="23"/>
    </row>
    <row r="25" spans="2:8" x14ac:dyDescent="0.2">
      <c r="B25" s="18" t="s">
        <v>69</v>
      </c>
      <c r="C25" s="23"/>
      <c r="D25" s="23"/>
      <c r="E25" s="23"/>
      <c r="F25" s="23"/>
      <c r="G25" s="23"/>
      <c r="H25" s="23"/>
    </row>
    <row r="26" spans="2:8" ht="24.75" x14ac:dyDescent="0.2">
      <c r="B26" s="17" t="s">
        <v>64</v>
      </c>
      <c r="C26" s="17" t="s">
        <v>52</v>
      </c>
      <c r="D26" s="17" t="s">
        <v>54</v>
      </c>
      <c r="E26" s="17" t="s">
        <v>48</v>
      </c>
      <c r="F26" s="53" t="s">
        <v>99</v>
      </c>
      <c r="G26" s="17" t="s">
        <v>71</v>
      </c>
      <c r="H26" s="17" t="s">
        <v>72</v>
      </c>
    </row>
    <row r="27" spans="2:8" x14ac:dyDescent="0.2">
      <c r="B27" s="39"/>
      <c r="C27" s="40"/>
      <c r="D27" s="39"/>
      <c r="E27" s="19"/>
      <c r="F27" s="19"/>
      <c r="G27" s="39"/>
      <c r="H27" s="39"/>
    </row>
    <row r="28" spans="2:8" x14ac:dyDescent="0.2">
      <c r="B28" s="39"/>
      <c r="C28" s="40"/>
      <c r="D28" s="39"/>
      <c r="E28" s="19"/>
      <c r="F28" s="19"/>
      <c r="G28" s="39"/>
      <c r="H28" s="39"/>
    </row>
    <row r="29" spans="2:8" x14ac:dyDescent="0.2">
      <c r="B29" s="19"/>
      <c r="C29" s="27"/>
      <c r="D29" s="19"/>
      <c r="E29" s="19"/>
      <c r="F29" s="19"/>
      <c r="G29" s="19"/>
      <c r="H29" s="19"/>
    </row>
    <row r="30" spans="2:8" x14ac:dyDescent="0.2">
      <c r="B30" s="19"/>
      <c r="C30" s="27"/>
      <c r="D30" s="19"/>
      <c r="E30" s="19"/>
      <c r="F30" s="19"/>
      <c r="G30" s="19"/>
      <c r="H30" s="19"/>
    </row>
    <row r="31" spans="2:8" x14ac:dyDescent="0.2">
      <c r="B31" s="18"/>
      <c r="C31" s="23"/>
      <c r="D31" s="23"/>
      <c r="E31" s="23"/>
      <c r="F31" s="23"/>
      <c r="G31" s="23"/>
      <c r="H31" s="23"/>
    </row>
    <row r="32" spans="2:8" x14ac:dyDescent="0.2">
      <c r="B32" s="18" t="s">
        <v>70</v>
      </c>
    </row>
    <row r="33" spans="2:8" x14ac:dyDescent="0.2">
      <c r="B33" s="11" t="s">
        <v>67</v>
      </c>
      <c r="C33" s="11" t="s">
        <v>65</v>
      </c>
      <c r="D33" s="11" t="s">
        <v>66</v>
      </c>
      <c r="E33" s="165" t="s">
        <v>97</v>
      </c>
      <c r="F33" s="166"/>
      <c r="G33" s="153" t="s">
        <v>20</v>
      </c>
      <c r="H33" s="154"/>
    </row>
    <row r="34" spans="2:8" x14ac:dyDescent="0.2">
      <c r="B34" s="9"/>
      <c r="C34" s="9"/>
      <c r="D34" s="25"/>
      <c r="E34" s="155"/>
      <c r="F34" s="156"/>
      <c r="G34" s="157"/>
      <c r="H34" s="158"/>
    </row>
    <row r="35" spans="2:8" x14ac:dyDescent="0.2">
      <c r="B35" s="9"/>
      <c r="C35" s="9"/>
      <c r="D35" s="25"/>
      <c r="E35" s="155"/>
      <c r="F35" s="156"/>
      <c r="G35" s="157"/>
      <c r="H35" s="158"/>
    </row>
    <row r="36" spans="2:8" x14ac:dyDescent="0.2">
      <c r="B36" s="9"/>
      <c r="C36" s="9"/>
      <c r="D36" s="25"/>
      <c r="E36" s="155"/>
      <c r="F36" s="156"/>
      <c r="G36" s="157"/>
      <c r="H36" s="158"/>
    </row>
    <row r="38" spans="2:8" ht="78" customHeight="1" x14ac:dyDescent="0.2">
      <c r="B38" s="16" t="s">
        <v>62</v>
      </c>
      <c r="C38" s="151" t="s">
        <v>144</v>
      </c>
      <c r="D38" s="152"/>
      <c r="E38" s="152"/>
      <c r="F38" s="152"/>
      <c r="G38" s="152"/>
      <c r="H38" s="152"/>
    </row>
  </sheetData>
  <mergeCells count="11">
    <mergeCell ref="B2:H2"/>
    <mergeCell ref="B3:H3"/>
    <mergeCell ref="E33:F33"/>
    <mergeCell ref="E36:F36"/>
    <mergeCell ref="G36:H36"/>
    <mergeCell ref="C38:H38"/>
    <mergeCell ref="G33:H33"/>
    <mergeCell ref="E34:F34"/>
    <mergeCell ref="G34:H34"/>
    <mergeCell ref="E35:F35"/>
    <mergeCell ref="G35:H35"/>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11267" r:id="rId4" name="CommandButton2">
          <controlPr autoLine="0" r:id="rId5">
            <anchor moveWithCells="1">
              <from>
                <xdr:col>5</xdr:col>
                <xdr:colOff>695325</xdr:colOff>
                <xdr:row>1</xdr:row>
                <xdr:rowOff>76200</xdr:rowOff>
              </from>
              <to>
                <xdr:col>6</xdr:col>
                <xdr:colOff>600075</xdr:colOff>
                <xdr:row>1</xdr:row>
                <xdr:rowOff>361950</xdr:rowOff>
              </to>
            </anchor>
          </controlPr>
        </control>
      </mc:Choice>
      <mc:Fallback>
        <control shapeId="11267" r:id="rId4" name="CommandButton2"/>
      </mc:Fallback>
    </mc:AlternateContent>
    <mc:AlternateContent xmlns:mc="http://schemas.openxmlformats.org/markup-compatibility/2006">
      <mc:Choice Requires="x14">
        <control shapeId="11265" r:id="rId6" name="CommandButton1">
          <controlPr autoLine="0" r:id="rId7">
            <anchor moveWithCells="1">
              <from>
                <xdr:col>4</xdr:col>
                <xdr:colOff>171450</xdr:colOff>
                <xdr:row>1</xdr:row>
                <xdr:rowOff>76200</xdr:rowOff>
              </from>
              <to>
                <xdr:col>5</xdr:col>
                <xdr:colOff>485775</xdr:colOff>
                <xdr:row>1</xdr:row>
                <xdr:rowOff>371475</xdr:rowOff>
              </to>
            </anchor>
          </controlPr>
        </control>
      </mc:Choice>
      <mc:Fallback>
        <control shapeId="11265"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63"/>
  <sheetViews>
    <sheetView topLeftCell="D1" workbookViewId="0">
      <selection activeCell="D2" sqref="A2:IV2"/>
    </sheetView>
  </sheetViews>
  <sheetFormatPr defaultRowHeight="12.75" x14ac:dyDescent="0.2"/>
  <cols>
    <col min="1" max="1" width="20.42578125" customWidth="1"/>
    <col min="3" max="3" width="18.28515625" customWidth="1"/>
    <col min="4" max="4" width="21.7109375" customWidth="1"/>
    <col min="5" max="5" width="11.85546875" customWidth="1"/>
    <col min="12" max="12" width="13.5703125" customWidth="1"/>
    <col min="13" max="13" width="14.5703125" customWidth="1"/>
  </cols>
  <sheetData>
    <row r="1" spans="1:19" s="10" customFormat="1" ht="36.75" x14ac:dyDescent="0.2">
      <c r="A1" s="29" t="s">
        <v>21</v>
      </c>
      <c r="B1" s="29" t="s">
        <v>22</v>
      </c>
      <c r="C1" s="29" t="s">
        <v>23</v>
      </c>
      <c r="D1" s="29" t="s">
        <v>24</v>
      </c>
      <c r="E1" s="29" t="s">
        <v>25</v>
      </c>
      <c r="F1" s="29" t="s">
        <v>26</v>
      </c>
      <c r="G1" s="17" t="s">
        <v>28</v>
      </c>
      <c r="H1" s="17" t="s">
        <v>27</v>
      </c>
      <c r="I1" s="17" t="s">
        <v>29</v>
      </c>
      <c r="J1" s="17" t="s">
        <v>30</v>
      </c>
      <c r="K1" s="17" t="s">
        <v>31</v>
      </c>
      <c r="L1" s="17" t="s">
        <v>32</v>
      </c>
      <c r="M1" s="17" t="s">
        <v>33</v>
      </c>
      <c r="N1" s="17" t="s">
        <v>34</v>
      </c>
      <c r="O1" s="17" t="s">
        <v>37</v>
      </c>
      <c r="P1" s="17" t="s">
        <v>36</v>
      </c>
      <c r="Q1" s="17" t="s">
        <v>35</v>
      </c>
      <c r="R1" s="17" t="s">
        <v>26</v>
      </c>
      <c r="S1" s="17" t="s">
        <v>16</v>
      </c>
    </row>
    <row r="2" spans="1:19" x14ac:dyDescent="0.2">
      <c r="A2" s="19"/>
      <c r="B2" s="19"/>
      <c r="C2" s="19"/>
      <c r="D2" s="20"/>
      <c r="E2" s="19"/>
      <c r="F2" s="19"/>
      <c r="G2" s="19"/>
      <c r="H2" s="19"/>
      <c r="I2" s="19"/>
      <c r="J2" s="19"/>
      <c r="K2" s="19"/>
      <c r="L2" s="19"/>
      <c r="M2" s="19"/>
      <c r="N2" s="19"/>
      <c r="O2" s="19"/>
      <c r="P2" s="20"/>
      <c r="Q2" s="20"/>
      <c r="R2" s="20"/>
      <c r="S2" s="20"/>
    </row>
    <row r="3" spans="1:19" ht="13.5" customHeight="1" x14ac:dyDescent="0.2">
      <c r="A3" s="19"/>
      <c r="B3" s="19"/>
      <c r="C3" s="19"/>
      <c r="D3" s="20"/>
      <c r="E3" s="19"/>
      <c r="F3" s="19"/>
      <c r="G3" s="19"/>
      <c r="H3" s="19"/>
      <c r="I3" s="19"/>
      <c r="J3" s="19"/>
      <c r="K3" s="19"/>
      <c r="L3" s="19"/>
      <c r="M3" s="19"/>
      <c r="N3" s="19"/>
      <c r="O3" s="19"/>
      <c r="P3" s="20"/>
      <c r="Q3" s="20"/>
      <c r="R3" s="20"/>
      <c r="S3" s="20"/>
    </row>
    <row r="4" spans="1:19" x14ac:dyDescent="0.2">
      <c r="A4" s="19"/>
      <c r="B4" s="19"/>
      <c r="C4" s="19"/>
      <c r="D4" s="20"/>
      <c r="E4" s="19"/>
      <c r="F4" s="19"/>
      <c r="G4" s="19"/>
      <c r="H4" s="19"/>
      <c r="I4" s="19"/>
      <c r="J4" s="19"/>
      <c r="K4" s="19"/>
      <c r="L4" s="19"/>
      <c r="M4" s="19"/>
      <c r="N4" s="19"/>
      <c r="O4" s="19"/>
      <c r="P4" s="20"/>
      <c r="Q4" s="20"/>
      <c r="R4" s="20"/>
      <c r="S4" s="20"/>
    </row>
    <row r="5" spans="1:19" ht="13.5" customHeight="1" x14ac:dyDescent="0.2">
      <c r="A5" s="19"/>
      <c r="B5" s="19"/>
      <c r="C5" s="19"/>
      <c r="D5" s="20"/>
      <c r="E5" s="19"/>
      <c r="F5" s="19"/>
      <c r="G5" s="19"/>
      <c r="H5" s="19"/>
      <c r="I5" s="19"/>
      <c r="J5" s="19"/>
      <c r="K5" s="19"/>
      <c r="L5" s="19"/>
      <c r="M5" s="19"/>
      <c r="N5" s="19"/>
      <c r="O5" s="19"/>
      <c r="P5" s="20"/>
      <c r="Q5" s="20"/>
      <c r="R5" s="20"/>
      <c r="S5" s="20"/>
    </row>
    <row r="6" spans="1:19" x14ac:dyDescent="0.2">
      <c r="A6" s="19"/>
      <c r="B6" s="19"/>
      <c r="C6" s="19"/>
      <c r="D6" s="20"/>
      <c r="E6" s="19"/>
      <c r="F6" s="19"/>
      <c r="G6" s="19"/>
      <c r="H6" s="19"/>
      <c r="I6" s="19"/>
      <c r="J6" s="19"/>
      <c r="K6" s="19"/>
      <c r="L6" s="19"/>
      <c r="M6" s="19"/>
      <c r="N6" s="19"/>
      <c r="O6" s="19"/>
      <c r="P6" s="20"/>
      <c r="Q6" s="20"/>
      <c r="R6" s="20"/>
      <c r="S6" s="20"/>
    </row>
    <row r="7" spans="1:19" ht="13.5" customHeight="1" x14ac:dyDescent="0.2">
      <c r="A7" s="19"/>
      <c r="B7" s="19"/>
      <c r="C7" s="19"/>
      <c r="D7" s="20"/>
      <c r="E7" s="19"/>
      <c r="F7" s="19"/>
      <c r="G7" s="19"/>
      <c r="H7" s="19"/>
      <c r="I7" s="19"/>
      <c r="J7" s="19"/>
      <c r="K7" s="19"/>
      <c r="L7" s="19"/>
      <c r="M7" s="19"/>
      <c r="N7" s="19"/>
      <c r="O7" s="19"/>
      <c r="P7" s="20"/>
      <c r="Q7" s="20"/>
      <c r="R7" s="20"/>
      <c r="S7" s="20"/>
    </row>
    <row r="8" spans="1:19" x14ac:dyDescent="0.2">
      <c r="A8" s="19"/>
      <c r="B8" s="19"/>
      <c r="C8" s="19"/>
      <c r="D8" s="20"/>
      <c r="E8" s="19"/>
      <c r="F8" s="19"/>
      <c r="G8" s="19"/>
      <c r="H8" s="19"/>
      <c r="I8" s="19"/>
      <c r="J8" s="19"/>
      <c r="K8" s="19"/>
      <c r="L8" s="19"/>
      <c r="M8" s="19"/>
      <c r="N8" s="19"/>
      <c r="O8" s="19"/>
      <c r="P8" s="20"/>
      <c r="Q8" s="20"/>
      <c r="R8" s="20"/>
      <c r="S8" s="20"/>
    </row>
    <row r="9" spans="1:19" x14ac:dyDescent="0.2">
      <c r="A9" s="19"/>
      <c r="B9" s="19"/>
      <c r="C9" s="19"/>
      <c r="D9" s="20"/>
      <c r="E9" s="19"/>
      <c r="F9" s="19"/>
      <c r="G9" s="19"/>
      <c r="H9" s="19"/>
      <c r="I9" s="19"/>
      <c r="J9" s="19"/>
      <c r="K9" s="19"/>
      <c r="L9" s="19"/>
      <c r="M9" s="19"/>
      <c r="N9" s="19"/>
      <c r="O9" s="19"/>
      <c r="P9" s="20"/>
      <c r="Q9" s="20"/>
      <c r="R9" s="20"/>
      <c r="S9" s="20"/>
    </row>
    <row r="10" spans="1:19" x14ac:dyDescent="0.2">
      <c r="A10" s="19"/>
      <c r="B10" s="19"/>
      <c r="C10" s="19"/>
      <c r="D10" s="20"/>
      <c r="E10" s="19"/>
      <c r="F10" s="19"/>
      <c r="G10" s="19"/>
      <c r="H10" s="19"/>
      <c r="I10" s="19"/>
      <c r="J10" s="19"/>
      <c r="K10" s="19"/>
      <c r="L10" s="19"/>
      <c r="M10" s="19"/>
      <c r="N10" s="19"/>
      <c r="O10" s="19"/>
      <c r="P10" s="20"/>
      <c r="Q10" s="20"/>
      <c r="R10" s="20"/>
      <c r="S10" s="20"/>
    </row>
    <row r="11" spans="1:19" ht="13.5" customHeight="1" x14ac:dyDescent="0.2">
      <c r="A11" s="19"/>
      <c r="B11" s="19"/>
      <c r="C11" s="19"/>
      <c r="D11" s="20"/>
      <c r="E11" s="19"/>
      <c r="F11" s="19"/>
      <c r="G11" s="19"/>
      <c r="H11" s="19"/>
      <c r="I11" s="19"/>
      <c r="J11" s="19"/>
      <c r="K11" s="19"/>
      <c r="L11" s="19"/>
      <c r="M11" s="19"/>
      <c r="N11" s="19"/>
      <c r="O11" s="19"/>
      <c r="P11" s="20"/>
      <c r="Q11" s="20"/>
      <c r="R11" s="20"/>
      <c r="S11" s="20"/>
    </row>
    <row r="12" spans="1:19" x14ac:dyDescent="0.2">
      <c r="A12" s="19"/>
      <c r="B12" s="19"/>
      <c r="C12" s="19"/>
      <c r="D12" s="20"/>
      <c r="E12" s="19"/>
      <c r="F12" s="19"/>
      <c r="G12" s="19"/>
      <c r="H12" s="19"/>
      <c r="I12" s="19"/>
      <c r="J12" s="19"/>
      <c r="K12" s="19"/>
      <c r="L12" s="19"/>
      <c r="M12" s="19"/>
      <c r="N12" s="19"/>
      <c r="O12" s="19"/>
      <c r="P12" s="20"/>
      <c r="Q12" s="20"/>
      <c r="R12" s="20"/>
      <c r="S12" s="20"/>
    </row>
    <row r="13" spans="1:19" x14ac:dyDescent="0.2">
      <c r="A13" s="19"/>
      <c r="B13" s="19"/>
      <c r="C13" s="19"/>
      <c r="D13" s="20"/>
      <c r="E13" s="19"/>
      <c r="F13" s="19"/>
      <c r="G13" s="19"/>
      <c r="H13" s="19"/>
      <c r="I13" s="19"/>
      <c r="J13" s="19"/>
      <c r="K13" s="19"/>
      <c r="L13" s="19"/>
      <c r="M13" s="19"/>
      <c r="N13" s="19"/>
      <c r="O13" s="19"/>
      <c r="P13" s="20"/>
      <c r="Q13" s="20"/>
      <c r="R13" s="20"/>
      <c r="S13" s="20"/>
    </row>
    <row r="14" spans="1:19" x14ac:dyDescent="0.2">
      <c r="A14" s="19"/>
      <c r="B14" s="19"/>
      <c r="C14" s="19"/>
      <c r="D14" s="20"/>
      <c r="E14" s="19"/>
      <c r="F14" s="19"/>
      <c r="G14" s="19"/>
      <c r="H14" s="19"/>
      <c r="I14" s="19"/>
      <c r="J14" s="19"/>
      <c r="K14" s="19"/>
      <c r="L14" s="19"/>
      <c r="M14" s="19"/>
      <c r="N14" s="19"/>
      <c r="O14" s="19"/>
      <c r="P14" s="20"/>
      <c r="Q14" s="20"/>
      <c r="R14" s="20"/>
      <c r="S14" s="20"/>
    </row>
    <row r="15" spans="1:19" ht="13.5" customHeight="1" x14ac:dyDescent="0.2">
      <c r="A15" s="19"/>
      <c r="B15" s="19"/>
      <c r="C15" s="19"/>
      <c r="D15" s="20"/>
      <c r="E15" s="19"/>
      <c r="F15" s="19"/>
      <c r="G15" s="19"/>
      <c r="H15" s="19"/>
      <c r="I15" s="19"/>
      <c r="J15" s="19"/>
      <c r="K15" s="19"/>
      <c r="L15" s="19"/>
      <c r="M15" s="19"/>
      <c r="N15" s="19"/>
      <c r="O15" s="19"/>
      <c r="P15" s="20"/>
      <c r="Q15" s="20"/>
      <c r="R15" s="20"/>
      <c r="S15" s="20"/>
    </row>
    <row r="16" spans="1:19" x14ac:dyDescent="0.2">
      <c r="A16" s="19"/>
      <c r="B16" s="19"/>
      <c r="C16" s="19"/>
      <c r="D16" s="20"/>
      <c r="E16" s="19"/>
      <c r="F16" s="19"/>
      <c r="G16" s="19"/>
      <c r="H16" s="19"/>
      <c r="I16" s="19"/>
      <c r="J16" s="19"/>
      <c r="K16" s="19"/>
      <c r="L16" s="19"/>
      <c r="M16" s="19"/>
      <c r="N16" s="19"/>
      <c r="O16" s="19"/>
      <c r="P16" s="20"/>
      <c r="Q16" s="20"/>
      <c r="R16" s="20"/>
      <c r="S16" s="20"/>
    </row>
    <row r="17" spans="1:19" x14ac:dyDescent="0.2">
      <c r="A17" s="19"/>
      <c r="B17" s="19"/>
      <c r="C17" s="19"/>
      <c r="D17" s="20"/>
      <c r="E17" s="19"/>
      <c r="F17" s="19"/>
      <c r="G17" s="19"/>
      <c r="H17" s="19"/>
      <c r="I17" s="19"/>
      <c r="J17" s="19"/>
      <c r="K17" s="19"/>
      <c r="L17" s="19"/>
      <c r="M17" s="19"/>
      <c r="N17" s="19"/>
      <c r="O17" s="19"/>
      <c r="P17" s="20"/>
      <c r="Q17" s="20"/>
      <c r="R17" s="20"/>
      <c r="S17" s="20"/>
    </row>
    <row r="18" spans="1:19" x14ac:dyDescent="0.2">
      <c r="A18" s="19"/>
      <c r="B18" s="19"/>
      <c r="C18" s="19"/>
      <c r="D18" s="20"/>
      <c r="E18" s="19"/>
      <c r="F18" s="19"/>
      <c r="G18" s="19"/>
      <c r="H18" s="19"/>
      <c r="I18" s="19"/>
      <c r="J18" s="19"/>
      <c r="K18" s="19"/>
      <c r="L18" s="19"/>
      <c r="M18" s="19"/>
      <c r="N18" s="19"/>
      <c r="O18" s="19"/>
      <c r="P18" s="20"/>
      <c r="Q18" s="20"/>
      <c r="R18" s="20"/>
      <c r="S18" s="20"/>
    </row>
    <row r="19" spans="1:19" x14ac:dyDescent="0.2">
      <c r="A19" s="19"/>
      <c r="B19" s="19"/>
      <c r="C19" s="19"/>
      <c r="D19" s="20"/>
      <c r="E19" s="19"/>
      <c r="F19" s="19"/>
      <c r="G19" s="19"/>
      <c r="H19" s="19"/>
      <c r="I19" s="19"/>
      <c r="J19" s="19"/>
      <c r="K19" s="19"/>
      <c r="L19" s="19"/>
      <c r="M19" s="19"/>
      <c r="N19" s="19"/>
      <c r="O19" s="19"/>
      <c r="P19" s="20"/>
      <c r="Q19" s="20"/>
      <c r="R19" s="20"/>
      <c r="S19" s="20"/>
    </row>
    <row r="20" spans="1:19" x14ac:dyDescent="0.2">
      <c r="A20" s="19"/>
      <c r="B20" s="19"/>
      <c r="C20" s="19"/>
      <c r="D20" s="20"/>
      <c r="E20" s="19"/>
      <c r="F20" s="19"/>
      <c r="G20" s="19"/>
      <c r="H20" s="19"/>
      <c r="I20" s="19"/>
      <c r="J20" s="19"/>
      <c r="K20" s="19"/>
      <c r="L20" s="19"/>
      <c r="M20" s="19"/>
      <c r="N20" s="19"/>
      <c r="O20" s="19"/>
      <c r="P20" s="20"/>
      <c r="Q20" s="20"/>
      <c r="R20" s="20"/>
      <c r="S20" s="20"/>
    </row>
    <row r="21" spans="1:19" ht="13.5" customHeight="1" x14ac:dyDescent="0.2">
      <c r="A21" s="19"/>
      <c r="B21" s="19"/>
      <c r="C21" s="19"/>
      <c r="D21" s="20"/>
      <c r="E21" s="19"/>
      <c r="F21" s="19"/>
      <c r="G21" s="19"/>
      <c r="H21" s="19"/>
      <c r="I21" s="19"/>
      <c r="J21" s="19"/>
      <c r="K21" s="19"/>
      <c r="L21" s="19"/>
      <c r="M21" s="19"/>
      <c r="N21" s="19"/>
      <c r="O21" s="19"/>
      <c r="P21" s="20"/>
      <c r="Q21" s="20"/>
      <c r="R21" s="20"/>
      <c r="S21" s="20"/>
    </row>
    <row r="22" spans="1:19" x14ac:dyDescent="0.2">
      <c r="A22" s="19"/>
      <c r="B22" s="19"/>
      <c r="C22" s="19"/>
      <c r="D22" s="20"/>
      <c r="E22" s="19"/>
      <c r="F22" s="19"/>
      <c r="G22" s="19"/>
      <c r="H22" s="19"/>
      <c r="I22" s="19"/>
      <c r="J22" s="19"/>
      <c r="K22" s="19"/>
      <c r="L22" s="19"/>
      <c r="M22" s="19"/>
      <c r="N22" s="19"/>
      <c r="O22" s="19"/>
      <c r="P22" s="20"/>
      <c r="Q22" s="20"/>
      <c r="R22" s="20"/>
      <c r="S22" s="20"/>
    </row>
    <row r="23" spans="1:19" ht="13.5" customHeight="1" x14ac:dyDescent="0.2">
      <c r="A23" s="19"/>
      <c r="B23" s="19"/>
      <c r="C23" s="19"/>
      <c r="D23" s="20"/>
      <c r="E23" s="19"/>
      <c r="F23" s="19"/>
      <c r="G23" s="19"/>
      <c r="H23" s="19"/>
      <c r="I23" s="19"/>
      <c r="J23" s="19"/>
      <c r="K23" s="19"/>
      <c r="L23" s="19"/>
      <c r="M23" s="19"/>
      <c r="N23" s="19"/>
      <c r="O23" s="19"/>
      <c r="P23" s="20"/>
      <c r="Q23" s="20"/>
      <c r="R23" s="20"/>
      <c r="S23" s="20"/>
    </row>
    <row r="24" spans="1:19" x14ac:dyDescent="0.2">
      <c r="A24" s="19"/>
      <c r="B24" s="19"/>
      <c r="C24" s="19"/>
      <c r="D24" s="20"/>
      <c r="E24" s="19"/>
      <c r="F24" s="19"/>
      <c r="G24" s="19"/>
      <c r="H24" s="19"/>
      <c r="I24" s="19"/>
      <c r="J24" s="19"/>
      <c r="K24" s="19"/>
      <c r="L24" s="19"/>
      <c r="M24" s="19"/>
      <c r="N24" s="19"/>
      <c r="O24" s="19"/>
      <c r="P24" s="20"/>
      <c r="Q24" s="20"/>
      <c r="R24" s="20"/>
      <c r="S24" s="20"/>
    </row>
    <row r="25" spans="1:19" x14ac:dyDescent="0.2">
      <c r="A25" s="19"/>
      <c r="B25" s="19"/>
      <c r="C25" s="19"/>
      <c r="D25" s="20"/>
      <c r="E25" s="19"/>
      <c r="F25" s="19"/>
      <c r="G25" s="19"/>
      <c r="H25" s="19"/>
      <c r="I25" s="19"/>
      <c r="J25" s="19"/>
      <c r="K25" s="19"/>
      <c r="L25" s="19"/>
      <c r="M25" s="19"/>
      <c r="N25" s="19"/>
      <c r="O25" s="19"/>
      <c r="P25" s="20"/>
      <c r="Q25" s="20"/>
      <c r="R25" s="20"/>
      <c r="S25" s="20"/>
    </row>
    <row r="26" spans="1:19" x14ac:dyDescent="0.2">
      <c r="A26" s="19"/>
      <c r="B26" s="19"/>
      <c r="C26" s="19"/>
      <c r="D26" s="20"/>
      <c r="E26" s="19"/>
      <c r="F26" s="19"/>
      <c r="G26" s="19"/>
      <c r="H26" s="19"/>
      <c r="I26" s="19"/>
      <c r="J26" s="19"/>
      <c r="K26" s="19"/>
      <c r="L26" s="19"/>
      <c r="M26" s="19"/>
      <c r="N26" s="19"/>
      <c r="O26" s="19"/>
      <c r="P26" s="20"/>
      <c r="Q26" s="20"/>
      <c r="R26" s="20"/>
      <c r="S26" s="20"/>
    </row>
    <row r="27" spans="1:19" ht="13.5" customHeight="1" x14ac:dyDescent="0.2">
      <c r="A27" s="19"/>
      <c r="B27" s="19"/>
      <c r="C27" s="19"/>
      <c r="D27" s="20"/>
      <c r="E27" s="19"/>
      <c r="F27" s="19"/>
      <c r="G27" s="19"/>
      <c r="H27" s="19"/>
      <c r="I27" s="19"/>
      <c r="J27" s="19"/>
      <c r="K27" s="19"/>
      <c r="L27" s="19"/>
      <c r="M27" s="19"/>
      <c r="N27" s="19"/>
      <c r="O27" s="19"/>
      <c r="P27" s="20"/>
      <c r="Q27" s="20"/>
      <c r="R27" s="20"/>
      <c r="S27" s="20"/>
    </row>
    <row r="28" spans="1:19" x14ac:dyDescent="0.2">
      <c r="A28" s="19"/>
      <c r="B28" s="19"/>
      <c r="C28" s="19"/>
      <c r="D28" s="20"/>
      <c r="E28" s="19"/>
      <c r="F28" s="19"/>
      <c r="G28" s="19"/>
      <c r="H28" s="19"/>
      <c r="I28" s="19"/>
      <c r="J28" s="19"/>
      <c r="K28" s="19"/>
      <c r="L28" s="19"/>
      <c r="M28" s="19"/>
      <c r="N28" s="19"/>
      <c r="O28" s="19"/>
      <c r="P28" s="20"/>
      <c r="Q28" s="20"/>
      <c r="R28" s="20"/>
      <c r="S28" s="20"/>
    </row>
    <row r="29" spans="1:19" x14ac:dyDescent="0.2">
      <c r="A29" s="19"/>
      <c r="B29" s="19"/>
      <c r="C29" s="19"/>
      <c r="D29" s="20"/>
      <c r="E29" s="19"/>
      <c r="F29" s="19"/>
      <c r="G29" s="19"/>
      <c r="H29" s="19"/>
      <c r="I29" s="19"/>
      <c r="J29" s="19"/>
      <c r="K29" s="19"/>
      <c r="L29" s="19"/>
      <c r="M29" s="19"/>
      <c r="N29" s="19"/>
      <c r="O29" s="19"/>
      <c r="P29" s="20"/>
      <c r="Q29" s="20"/>
      <c r="R29" s="20"/>
      <c r="S29" s="20"/>
    </row>
    <row r="30" spans="1:19" ht="13.5" customHeight="1" x14ac:dyDescent="0.2">
      <c r="A30" s="19"/>
      <c r="B30" s="19"/>
      <c r="C30" s="19"/>
      <c r="D30" s="20"/>
      <c r="E30" s="19"/>
      <c r="F30" s="19"/>
      <c r="G30" s="19"/>
      <c r="H30" s="19"/>
      <c r="I30" s="19"/>
      <c r="J30" s="19"/>
      <c r="K30" s="19"/>
      <c r="L30" s="19"/>
      <c r="M30" s="19"/>
      <c r="N30" s="19"/>
      <c r="O30" s="19"/>
      <c r="P30" s="20"/>
      <c r="Q30" s="20"/>
      <c r="R30" s="20"/>
      <c r="S30" s="20"/>
    </row>
    <row r="31" spans="1:19" x14ac:dyDescent="0.2">
      <c r="A31" s="19"/>
      <c r="B31" s="19"/>
      <c r="C31" s="19"/>
      <c r="D31" s="20"/>
      <c r="E31" s="19"/>
      <c r="F31" s="19"/>
      <c r="G31" s="19"/>
      <c r="H31" s="19"/>
      <c r="I31" s="19"/>
      <c r="J31" s="19"/>
      <c r="K31" s="19"/>
      <c r="L31" s="19"/>
      <c r="M31" s="19"/>
      <c r="N31" s="19"/>
      <c r="O31" s="19"/>
      <c r="P31" s="20"/>
      <c r="Q31" s="20"/>
      <c r="R31" s="20"/>
      <c r="S31" s="20"/>
    </row>
    <row r="32" spans="1:19" x14ac:dyDescent="0.2">
      <c r="A32" s="19"/>
      <c r="B32" s="19"/>
      <c r="C32" s="19"/>
      <c r="D32" s="20"/>
      <c r="E32" s="19"/>
      <c r="F32" s="19"/>
      <c r="G32" s="19"/>
      <c r="H32" s="19"/>
      <c r="I32" s="19"/>
      <c r="J32" s="19"/>
      <c r="K32" s="19"/>
      <c r="L32" s="19"/>
      <c r="M32" s="19"/>
      <c r="N32" s="19"/>
      <c r="O32" s="19"/>
      <c r="P32" s="20"/>
      <c r="Q32" s="20"/>
      <c r="R32" s="20"/>
      <c r="S32" s="20"/>
    </row>
    <row r="33" spans="1:19" x14ac:dyDescent="0.2">
      <c r="A33" s="19"/>
      <c r="B33" s="19"/>
      <c r="C33" s="19"/>
      <c r="D33" s="20"/>
      <c r="E33" s="19"/>
      <c r="F33" s="19"/>
      <c r="G33" s="19"/>
      <c r="H33" s="19"/>
      <c r="I33" s="19"/>
      <c r="J33" s="19"/>
      <c r="K33" s="19"/>
      <c r="L33" s="19"/>
      <c r="M33" s="19"/>
      <c r="N33" s="19"/>
      <c r="O33" s="19"/>
      <c r="P33" s="20"/>
      <c r="Q33" s="20"/>
      <c r="R33" s="20"/>
      <c r="S33" s="20"/>
    </row>
    <row r="34" spans="1:19" ht="13.5" customHeight="1" x14ac:dyDescent="0.2">
      <c r="A34" s="19"/>
      <c r="B34" s="19"/>
      <c r="C34" s="19"/>
      <c r="D34" s="20"/>
      <c r="E34" s="19"/>
      <c r="F34" s="19"/>
      <c r="G34" s="19"/>
      <c r="H34" s="19"/>
      <c r="I34" s="19"/>
      <c r="J34" s="19"/>
      <c r="K34" s="19"/>
      <c r="L34" s="19"/>
      <c r="M34" s="19"/>
      <c r="N34" s="19"/>
      <c r="O34" s="19"/>
      <c r="P34" s="20"/>
      <c r="Q34" s="20"/>
      <c r="R34" s="20"/>
      <c r="S34" s="20"/>
    </row>
    <row r="35" spans="1:19" x14ac:dyDescent="0.2">
      <c r="A35" s="19"/>
      <c r="B35" s="19"/>
      <c r="C35" s="19"/>
      <c r="D35" s="20"/>
      <c r="E35" s="19"/>
      <c r="F35" s="19"/>
      <c r="G35" s="19"/>
      <c r="H35" s="19"/>
      <c r="I35" s="19"/>
      <c r="J35" s="19"/>
      <c r="K35" s="19"/>
      <c r="L35" s="19"/>
      <c r="M35" s="19"/>
      <c r="N35" s="19"/>
      <c r="O35" s="19"/>
      <c r="P35" s="20"/>
      <c r="Q35" s="20"/>
      <c r="R35" s="20"/>
      <c r="S35" s="20"/>
    </row>
    <row r="36" spans="1:19" x14ac:dyDescent="0.2">
      <c r="A36" s="19"/>
      <c r="B36" s="19"/>
      <c r="C36" s="19"/>
      <c r="D36" s="20"/>
      <c r="E36" s="19"/>
      <c r="F36" s="19"/>
      <c r="G36" s="19"/>
      <c r="H36" s="19"/>
      <c r="I36" s="19"/>
      <c r="J36" s="19"/>
      <c r="K36" s="19"/>
      <c r="L36" s="19"/>
      <c r="M36" s="19"/>
      <c r="N36" s="19"/>
      <c r="O36" s="19"/>
      <c r="P36" s="20"/>
      <c r="Q36" s="20"/>
      <c r="R36" s="20"/>
      <c r="S36" s="20"/>
    </row>
    <row r="37" spans="1:19" x14ac:dyDescent="0.2">
      <c r="A37" s="19"/>
      <c r="B37" s="19"/>
      <c r="C37" s="19"/>
      <c r="D37" s="20"/>
      <c r="E37" s="19"/>
      <c r="F37" s="19"/>
      <c r="G37" s="19"/>
      <c r="H37" s="19"/>
      <c r="I37" s="19"/>
      <c r="J37" s="19"/>
      <c r="K37" s="19"/>
      <c r="L37" s="19"/>
      <c r="M37" s="19"/>
      <c r="N37" s="19"/>
      <c r="O37" s="19"/>
      <c r="P37" s="20"/>
      <c r="Q37" s="20"/>
      <c r="R37" s="20"/>
      <c r="S37" s="20"/>
    </row>
    <row r="38" spans="1:19" ht="13.5" customHeight="1" x14ac:dyDescent="0.2">
      <c r="A38" s="19"/>
      <c r="B38" s="19"/>
      <c r="C38" s="19"/>
      <c r="D38" s="20"/>
      <c r="E38" s="19"/>
      <c r="F38" s="19"/>
      <c r="G38" s="19"/>
      <c r="H38" s="19"/>
      <c r="I38" s="19"/>
      <c r="J38" s="19"/>
      <c r="K38" s="19"/>
      <c r="L38" s="19"/>
      <c r="M38" s="19"/>
      <c r="N38" s="19"/>
      <c r="O38" s="19"/>
      <c r="P38" s="20"/>
      <c r="Q38" s="20"/>
      <c r="R38" s="20"/>
      <c r="S38" s="20"/>
    </row>
    <row r="39" spans="1:19" x14ac:dyDescent="0.2">
      <c r="A39" s="19"/>
      <c r="B39" s="19"/>
      <c r="C39" s="19"/>
      <c r="D39" s="20"/>
      <c r="E39" s="19"/>
      <c r="F39" s="19"/>
      <c r="G39" s="19"/>
      <c r="H39" s="19"/>
      <c r="I39" s="19"/>
      <c r="J39" s="19"/>
      <c r="K39" s="19"/>
      <c r="L39" s="19"/>
      <c r="M39" s="19"/>
      <c r="N39" s="19"/>
      <c r="O39" s="19"/>
      <c r="P39" s="20"/>
      <c r="Q39" s="20"/>
      <c r="R39" s="20"/>
      <c r="S39" s="20"/>
    </row>
    <row r="40" spans="1:19" x14ac:dyDescent="0.2">
      <c r="A40" s="19"/>
      <c r="B40" s="19"/>
      <c r="C40" s="19"/>
      <c r="D40" s="20"/>
      <c r="E40" s="19"/>
      <c r="F40" s="19"/>
      <c r="G40" s="19"/>
      <c r="H40" s="19"/>
      <c r="I40" s="19"/>
      <c r="J40" s="19"/>
      <c r="K40" s="19"/>
      <c r="L40" s="19"/>
      <c r="M40" s="19"/>
      <c r="N40" s="19"/>
      <c r="O40" s="19"/>
      <c r="P40" s="20"/>
      <c r="Q40" s="20"/>
      <c r="R40" s="20"/>
      <c r="S40" s="20"/>
    </row>
    <row r="41" spans="1:19" x14ac:dyDescent="0.2">
      <c r="A41" s="19"/>
      <c r="B41" s="19"/>
      <c r="C41" s="19"/>
      <c r="D41" s="20"/>
      <c r="E41" s="19"/>
      <c r="F41" s="19"/>
      <c r="G41" s="19"/>
      <c r="H41" s="19"/>
      <c r="I41" s="19"/>
      <c r="J41" s="19"/>
      <c r="K41" s="19"/>
      <c r="L41" s="19"/>
      <c r="M41" s="19"/>
      <c r="N41" s="19"/>
      <c r="O41" s="19"/>
      <c r="P41" s="20"/>
      <c r="Q41" s="20"/>
      <c r="R41" s="20"/>
      <c r="S41" s="20"/>
    </row>
    <row r="42" spans="1:19" x14ac:dyDescent="0.2">
      <c r="A42" s="19"/>
      <c r="B42" s="19"/>
      <c r="C42" s="19"/>
      <c r="D42" s="20"/>
      <c r="E42" s="19"/>
      <c r="F42" s="19"/>
      <c r="G42" s="19"/>
      <c r="H42" s="19"/>
      <c r="I42" s="19"/>
      <c r="J42" s="19"/>
      <c r="K42" s="19"/>
      <c r="L42" s="19"/>
      <c r="M42" s="19"/>
      <c r="N42" s="19"/>
      <c r="O42" s="19"/>
      <c r="P42" s="20"/>
      <c r="Q42" s="20"/>
      <c r="R42" s="20"/>
      <c r="S42" s="20"/>
    </row>
    <row r="43" spans="1:19" x14ac:dyDescent="0.2">
      <c r="A43" s="19"/>
      <c r="B43" s="19"/>
      <c r="C43" s="19"/>
      <c r="D43" s="20"/>
      <c r="E43" s="19"/>
      <c r="F43" s="19"/>
      <c r="G43" s="19"/>
      <c r="H43" s="19"/>
      <c r="I43" s="19"/>
      <c r="J43" s="19"/>
      <c r="K43" s="19"/>
      <c r="L43" s="19"/>
      <c r="M43" s="19"/>
      <c r="N43" s="19"/>
      <c r="O43" s="19"/>
      <c r="P43" s="20"/>
      <c r="Q43" s="20"/>
      <c r="R43" s="20"/>
      <c r="S43" s="20"/>
    </row>
    <row r="44" spans="1:19" x14ac:dyDescent="0.2">
      <c r="A44" s="19"/>
      <c r="B44" s="19"/>
      <c r="C44" s="19"/>
      <c r="D44" s="20"/>
      <c r="E44" s="19"/>
      <c r="F44" s="19"/>
      <c r="G44" s="19"/>
      <c r="H44" s="19"/>
      <c r="I44" s="19"/>
      <c r="J44" s="19"/>
      <c r="K44" s="19"/>
      <c r="L44" s="19"/>
      <c r="M44" s="19"/>
      <c r="N44" s="19"/>
      <c r="O44" s="19"/>
      <c r="P44" s="20"/>
      <c r="Q44" s="20"/>
      <c r="R44" s="20"/>
      <c r="S44" s="20"/>
    </row>
    <row r="45" spans="1:19" x14ac:dyDescent="0.2">
      <c r="A45" s="19"/>
      <c r="B45" s="19"/>
      <c r="C45" s="19"/>
      <c r="D45" s="20"/>
      <c r="E45" s="19"/>
      <c r="F45" s="19"/>
      <c r="G45" s="19"/>
      <c r="H45" s="19"/>
      <c r="I45" s="19"/>
      <c r="J45" s="19"/>
      <c r="K45" s="19"/>
      <c r="L45" s="19"/>
      <c r="M45" s="19"/>
      <c r="N45" s="19"/>
      <c r="O45" s="19"/>
      <c r="P45" s="20"/>
      <c r="Q45" s="20"/>
      <c r="R45" s="20"/>
      <c r="S45" s="20"/>
    </row>
    <row r="46" spans="1:19" x14ac:dyDescent="0.2">
      <c r="A46" s="19"/>
      <c r="B46" s="19"/>
      <c r="C46" s="19"/>
      <c r="D46" s="20"/>
      <c r="E46" s="19"/>
      <c r="F46" s="19"/>
      <c r="G46" s="19"/>
      <c r="H46" s="19"/>
      <c r="I46" s="19"/>
      <c r="J46" s="19"/>
      <c r="K46" s="19"/>
      <c r="L46" s="19"/>
      <c r="M46" s="19"/>
      <c r="N46" s="19"/>
      <c r="O46" s="19"/>
      <c r="P46" s="20"/>
      <c r="Q46" s="20"/>
      <c r="R46" s="20"/>
      <c r="S46" s="20"/>
    </row>
    <row r="47" spans="1:19" x14ac:dyDescent="0.2">
      <c r="A47" s="19"/>
      <c r="B47" s="19"/>
      <c r="C47" s="19"/>
      <c r="D47" s="20"/>
      <c r="E47" s="19"/>
      <c r="F47" s="19"/>
      <c r="G47" s="19"/>
      <c r="H47" s="19"/>
      <c r="I47" s="19"/>
      <c r="J47" s="19"/>
      <c r="K47" s="19"/>
      <c r="L47" s="19"/>
      <c r="M47" s="19"/>
      <c r="N47" s="19"/>
      <c r="O47" s="19"/>
      <c r="P47" s="20"/>
      <c r="Q47" s="20"/>
      <c r="R47" s="20"/>
      <c r="S47" s="20"/>
    </row>
    <row r="48" spans="1:19" x14ac:dyDescent="0.2">
      <c r="A48" s="19"/>
      <c r="B48" s="19"/>
      <c r="C48" s="19"/>
      <c r="D48" s="20"/>
      <c r="E48" s="19"/>
      <c r="F48" s="19"/>
      <c r="G48" s="19"/>
      <c r="H48" s="19"/>
      <c r="I48" s="19"/>
      <c r="J48" s="19"/>
      <c r="K48" s="19"/>
      <c r="L48" s="19"/>
      <c r="M48" s="19"/>
      <c r="N48" s="19"/>
      <c r="O48" s="19"/>
      <c r="P48" s="20"/>
      <c r="Q48" s="20"/>
      <c r="R48" s="20"/>
      <c r="S48" s="20"/>
    </row>
    <row r="49" spans="1:19" x14ac:dyDescent="0.2">
      <c r="A49" s="19"/>
      <c r="B49" s="19"/>
      <c r="C49" s="19"/>
      <c r="D49" s="20"/>
      <c r="E49" s="19"/>
      <c r="F49" s="19"/>
      <c r="G49" s="19"/>
      <c r="H49" s="19"/>
      <c r="I49" s="19"/>
      <c r="J49" s="19"/>
      <c r="K49" s="19"/>
      <c r="L49" s="19"/>
      <c r="M49" s="19"/>
      <c r="N49" s="19"/>
      <c r="O49" s="19"/>
      <c r="P49" s="20"/>
      <c r="Q49" s="20"/>
      <c r="R49" s="20"/>
      <c r="S49" s="20"/>
    </row>
    <row r="50" spans="1:19" x14ac:dyDescent="0.2">
      <c r="A50" s="19"/>
      <c r="B50" s="19"/>
      <c r="C50" s="19"/>
      <c r="D50" s="20"/>
      <c r="E50" s="19"/>
      <c r="F50" s="19"/>
      <c r="G50" s="19"/>
      <c r="H50" s="19"/>
      <c r="I50" s="19"/>
      <c r="J50" s="19"/>
      <c r="K50" s="19"/>
      <c r="L50" s="19"/>
      <c r="M50" s="19"/>
      <c r="N50" s="19"/>
      <c r="O50" s="19"/>
      <c r="P50" s="20"/>
      <c r="Q50" s="20"/>
      <c r="R50" s="20"/>
      <c r="S50" s="20"/>
    </row>
    <row r="51" spans="1:19" x14ac:dyDescent="0.2">
      <c r="A51" s="19"/>
      <c r="B51" s="19"/>
      <c r="C51" s="19"/>
      <c r="D51" s="20"/>
      <c r="E51" s="19"/>
      <c r="F51" s="19"/>
      <c r="G51" s="19"/>
      <c r="H51" s="19"/>
      <c r="I51" s="19"/>
      <c r="J51" s="19"/>
      <c r="K51" s="19"/>
      <c r="L51" s="19"/>
      <c r="M51" s="19"/>
      <c r="N51" s="19"/>
      <c r="O51" s="19"/>
      <c r="P51" s="20"/>
      <c r="Q51" s="20"/>
      <c r="R51" s="20"/>
      <c r="S51" s="20"/>
    </row>
    <row r="52" spans="1:19" x14ac:dyDescent="0.2">
      <c r="A52" s="19"/>
      <c r="B52" s="19"/>
      <c r="C52" s="19"/>
      <c r="D52" s="20"/>
      <c r="E52" s="19"/>
      <c r="F52" s="19"/>
      <c r="G52" s="19"/>
      <c r="H52" s="19"/>
      <c r="I52" s="19"/>
      <c r="J52" s="19"/>
      <c r="K52" s="19"/>
      <c r="L52" s="19"/>
      <c r="M52" s="19"/>
      <c r="N52" s="19"/>
      <c r="O52" s="19"/>
      <c r="P52" s="20"/>
      <c r="Q52" s="20"/>
      <c r="R52" s="20"/>
      <c r="S52" s="20"/>
    </row>
    <row r="53" spans="1:19" x14ac:dyDescent="0.2">
      <c r="A53" s="19"/>
      <c r="B53" s="19"/>
      <c r="C53" s="19"/>
      <c r="D53" s="20"/>
      <c r="E53" s="19"/>
      <c r="F53" s="19"/>
      <c r="G53" s="19"/>
      <c r="H53" s="19"/>
      <c r="I53" s="19"/>
      <c r="J53" s="19"/>
      <c r="K53" s="19"/>
      <c r="L53" s="19"/>
      <c r="M53" s="19"/>
      <c r="N53" s="19"/>
      <c r="O53" s="19"/>
      <c r="P53" s="20"/>
      <c r="Q53" s="20"/>
      <c r="R53" s="20"/>
      <c r="S53" s="20"/>
    </row>
    <row r="54" spans="1:19" x14ac:dyDescent="0.2">
      <c r="A54" s="19"/>
      <c r="B54" s="19"/>
      <c r="C54" s="19"/>
      <c r="D54" s="20"/>
      <c r="E54" s="19"/>
      <c r="F54" s="19"/>
      <c r="G54" s="19"/>
      <c r="H54" s="19"/>
      <c r="I54" s="19"/>
      <c r="J54" s="19"/>
      <c r="K54" s="19"/>
      <c r="L54" s="19"/>
      <c r="M54" s="19"/>
      <c r="N54" s="19"/>
      <c r="O54" s="19"/>
      <c r="P54" s="20"/>
      <c r="Q54" s="20"/>
      <c r="R54" s="20"/>
      <c r="S54" s="20"/>
    </row>
    <row r="55" spans="1:19" x14ac:dyDescent="0.2">
      <c r="A55" s="19"/>
      <c r="B55" s="19"/>
      <c r="C55" s="19"/>
      <c r="D55" s="20"/>
      <c r="E55" s="19"/>
      <c r="F55" s="19"/>
      <c r="G55" s="19"/>
      <c r="H55" s="19"/>
      <c r="I55" s="19"/>
      <c r="J55" s="19"/>
      <c r="K55" s="19"/>
      <c r="L55" s="19"/>
      <c r="M55" s="19"/>
      <c r="N55" s="19"/>
      <c r="O55" s="19"/>
      <c r="P55" s="20"/>
      <c r="Q55" s="20"/>
      <c r="R55" s="20"/>
      <c r="S55" s="20"/>
    </row>
    <row r="56" spans="1:19" x14ac:dyDescent="0.2">
      <c r="A56" s="19"/>
      <c r="B56" s="19"/>
      <c r="C56" s="19"/>
      <c r="D56" s="20"/>
      <c r="E56" s="19"/>
      <c r="F56" s="19"/>
      <c r="G56" s="19"/>
      <c r="H56" s="19"/>
      <c r="I56" s="19"/>
      <c r="J56" s="19"/>
      <c r="K56" s="19"/>
      <c r="L56" s="19"/>
      <c r="M56" s="19"/>
      <c r="N56" s="19"/>
      <c r="O56" s="19"/>
      <c r="P56" s="20"/>
      <c r="Q56" s="20"/>
      <c r="R56" s="20"/>
      <c r="S56" s="20"/>
    </row>
    <row r="57" spans="1:19" x14ac:dyDescent="0.2">
      <c r="A57" s="19"/>
      <c r="B57" s="19"/>
      <c r="C57" s="19"/>
      <c r="D57" s="20"/>
      <c r="E57" s="19"/>
      <c r="F57" s="19"/>
      <c r="G57" s="19"/>
      <c r="H57" s="19"/>
      <c r="I57" s="19"/>
      <c r="J57" s="19"/>
      <c r="K57" s="19"/>
      <c r="L57" s="19"/>
      <c r="M57" s="19"/>
      <c r="N57" s="19"/>
      <c r="O57" s="19"/>
      <c r="P57" s="20"/>
      <c r="Q57" s="20"/>
      <c r="R57" s="20"/>
      <c r="S57" s="20"/>
    </row>
    <row r="58" spans="1:19" x14ac:dyDescent="0.2">
      <c r="A58" s="19"/>
      <c r="B58" s="19"/>
      <c r="C58" s="19"/>
      <c r="D58" s="20"/>
      <c r="E58" s="19"/>
      <c r="F58" s="19"/>
      <c r="G58" s="19"/>
      <c r="H58" s="19"/>
      <c r="I58" s="19"/>
      <c r="J58" s="19"/>
      <c r="K58" s="19"/>
      <c r="L58" s="19"/>
      <c r="M58" s="19"/>
      <c r="N58" s="19"/>
      <c r="O58" s="19"/>
      <c r="P58" s="20"/>
      <c r="Q58" s="20"/>
      <c r="R58" s="20"/>
      <c r="S58" s="20"/>
    </row>
    <row r="59" spans="1:19" x14ac:dyDescent="0.2">
      <c r="A59" s="19"/>
      <c r="B59" s="19"/>
      <c r="C59" s="19"/>
      <c r="D59" s="20"/>
      <c r="E59" s="19"/>
      <c r="F59" s="19"/>
      <c r="G59" s="19"/>
      <c r="H59" s="19"/>
      <c r="I59" s="19"/>
      <c r="J59" s="19"/>
      <c r="K59" s="19"/>
      <c r="L59" s="19"/>
      <c r="M59" s="19"/>
      <c r="N59" s="19"/>
      <c r="O59" s="19"/>
      <c r="P59" s="20"/>
      <c r="Q59" s="20"/>
      <c r="R59" s="20"/>
      <c r="S59" s="20"/>
    </row>
    <row r="60" spans="1:19" x14ac:dyDescent="0.2">
      <c r="A60" s="19"/>
      <c r="B60" s="19"/>
      <c r="C60" s="19"/>
      <c r="D60" s="20"/>
      <c r="E60" s="19"/>
      <c r="F60" s="19"/>
      <c r="G60" s="19"/>
      <c r="H60" s="19"/>
      <c r="I60" s="19"/>
      <c r="J60" s="19"/>
      <c r="K60" s="19"/>
      <c r="L60" s="19"/>
      <c r="M60" s="19"/>
      <c r="N60" s="19"/>
      <c r="O60" s="19"/>
      <c r="P60" s="20"/>
      <c r="Q60" s="20"/>
      <c r="R60" s="20"/>
      <c r="S60" s="20"/>
    </row>
    <row r="61" spans="1:19" x14ac:dyDescent="0.2">
      <c r="A61" s="19"/>
      <c r="B61" s="19"/>
      <c r="C61" s="19"/>
      <c r="D61" s="20"/>
      <c r="E61" s="19"/>
      <c r="F61" s="19"/>
      <c r="G61" s="19"/>
      <c r="H61" s="19"/>
      <c r="I61" s="19"/>
      <c r="J61" s="19"/>
      <c r="K61" s="19"/>
      <c r="L61" s="19"/>
      <c r="M61" s="19"/>
      <c r="N61" s="19"/>
      <c r="O61" s="19"/>
      <c r="P61" s="20"/>
      <c r="Q61" s="20"/>
      <c r="R61" s="20"/>
      <c r="S61" s="20"/>
    </row>
    <row r="62" spans="1:19" x14ac:dyDescent="0.2">
      <c r="A62" s="19"/>
      <c r="B62" s="19"/>
      <c r="C62" s="19"/>
      <c r="D62" s="20"/>
      <c r="E62" s="19"/>
      <c r="F62" s="19"/>
      <c r="G62" s="19"/>
      <c r="H62" s="19"/>
      <c r="I62" s="19"/>
      <c r="J62" s="19"/>
      <c r="K62" s="19"/>
      <c r="L62" s="19"/>
      <c r="M62" s="19"/>
      <c r="N62" s="19"/>
      <c r="O62" s="19"/>
      <c r="P62" s="20"/>
      <c r="Q62" s="20"/>
      <c r="R62" s="20"/>
      <c r="S62" s="20"/>
    </row>
    <row r="63" spans="1:19" x14ac:dyDescent="0.2">
      <c r="A63" s="19"/>
      <c r="B63" s="19"/>
      <c r="C63" s="19"/>
      <c r="D63" s="20"/>
      <c r="E63" s="19"/>
      <c r="F63" s="19"/>
      <c r="G63" s="19"/>
      <c r="H63" s="19"/>
      <c r="I63" s="19"/>
      <c r="J63" s="19"/>
      <c r="K63" s="19"/>
      <c r="L63" s="19"/>
      <c r="M63" s="19"/>
      <c r="N63" s="19"/>
      <c r="O63" s="19"/>
      <c r="P63" s="20"/>
      <c r="Q63" s="20"/>
      <c r="R63" s="20"/>
      <c r="S63" s="20"/>
    </row>
  </sheetData>
  <phoneticPr fontId="1" type="noConversion"/>
  <dataValidations count="4">
    <dataValidation type="list" allowBlank="1" showInputMessage="1" showErrorMessage="1" sqref="H2:H63">
      <formula1>"已提交,已关闭"</formula1>
    </dataValidation>
    <dataValidation type="list" allowBlank="1" showInputMessage="1" showErrorMessage="1" sqref="M2:M63">
      <formula1>"是,否"</formula1>
    </dataValidation>
    <dataValidation type="list" allowBlank="1" showInputMessage="1" showErrorMessage="1" sqref="I2:J63">
      <formula1>"10,9,8,7,6,5,4,3,2,1"</formula1>
    </dataValidation>
    <dataValidation type="list" allowBlank="1" showInputMessage="1" showErrorMessage="1" sqref="O2:O63">
      <formula1>版本名称</formula1>
    </dataValidation>
  </dataValidations>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B2:G30"/>
  <sheetViews>
    <sheetView tabSelected="1" topLeftCell="B14" workbookViewId="0">
      <selection activeCell="J9" sqref="J9"/>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288</v>
      </c>
      <c r="C2" s="170"/>
      <c r="D2" s="170"/>
      <c r="E2" s="170"/>
      <c r="F2" s="170"/>
      <c r="G2" s="170"/>
    </row>
    <row r="3" spans="2:7" ht="125.25" customHeight="1" x14ac:dyDescent="0.2">
      <c r="B3" s="171" t="s">
        <v>289</v>
      </c>
      <c r="C3" s="171"/>
      <c r="D3" s="171"/>
      <c r="E3" s="171"/>
      <c r="F3" s="171"/>
      <c r="G3" s="171"/>
    </row>
    <row r="4" spans="2:7" ht="13.5" customHeight="1" x14ac:dyDescent="0.2">
      <c r="B4" s="86"/>
      <c r="C4" s="87"/>
      <c r="D4" s="172"/>
      <c r="E4" s="173"/>
      <c r="F4" s="173"/>
      <c r="G4" s="174"/>
    </row>
    <row r="5" spans="2:7" ht="14.25" x14ac:dyDescent="0.3">
      <c r="B5" s="88" t="s">
        <v>14</v>
      </c>
      <c r="C5" s="77" t="s">
        <v>276</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43391</v>
      </c>
      <c r="D13" s="101">
        <v>43391</v>
      </c>
      <c r="E13" s="102"/>
      <c r="F13" s="90"/>
      <c r="G13" s="91"/>
    </row>
    <row r="14" spans="2:7" ht="14.25" x14ac:dyDescent="0.3">
      <c r="B14" s="103" t="s">
        <v>74</v>
      </c>
      <c r="C14" s="101">
        <v>43391</v>
      </c>
      <c r="D14" s="101">
        <v>43395</v>
      </c>
      <c r="E14" s="89"/>
      <c r="F14" s="90"/>
      <c r="G14" s="91"/>
    </row>
    <row r="15" spans="2:7" ht="14.25" x14ac:dyDescent="0.3">
      <c r="B15" s="100" t="s">
        <v>73</v>
      </c>
      <c r="C15" s="101">
        <v>43391</v>
      </c>
      <c r="D15" s="101">
        <v>43395</v>
      </c>
      <c r="E15" s="102"/>
      <c r="F15" s="90"/>
      <c r="G15" s="91"/>
    </row>
    <row r="16" spans="2:7" ht="14.25" x14ac:dyDescent="0.3">
      <c r="B16" s="103" t="s">
        <v>19</v>
      </c>
      <c r="C16" s="101">
        <v>43396</v>
      </c>
      <c r="D16" s="101">
        <v>43396</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278</v>
      </c>
      <c r="C19" s="106">
        <v>43347</v>
      </c>
      <c r="D19" s="85" t="s">
        <v>280</v>
      </c>
      <c r="E19" s="85" t="s">
        <v>290</v>
      </c>
      <c r="F19" s="85" t="s">
        <v>269</v>
      </c>
      <c r="G19" s="85"/>
    </row>
    <row r="20" spans="2:7" ht="43.5" customHeight="1" x14ac:dyDescent="0.2">
      <c r="B20" s="132"/>
      <c r="C20" s="133"/>
      <c r="D20" s="134"/>
      <c r="E20" s="134"/>
      <c r="F20" s="134"/>
      <c r="G20" s="135"/>
    </row>
    <row r="21" spans="2:7" ht="43.5" customHeight="1" x14ac:dyDescent="0.2">
      <c r="B21" s="132"/>
      <c r="C21" s="133"/>
      <c r="D21" s="134"/>
      <c r="E21" s="134"/>
      <c r="F21" s="134"/>
      <c r="G21" s="135"/>
    </row>
    <row r="22" spans="2:7" ht="25.5" customHeight="1" x14ac:dyDescent="0.2">
      <c r="B22" s="175" t="s">
        <v>69</v>
      </c>
      <c r="C22" s="176"/>
      <c r="D22" s="176"/>
      <c r="E22" s="176"/>
      <c r="F22" s="176"/>
      <c r="G22" s="177"/>
    </row>
    <row r="23" spans="2:7" ht="28.5" x14ac:dyDescent="0.2">
      <c r="B23" s="80" t="s">
        <v>51</v>
      </c>
      <c r="C23" s="80" t="s">
        <v>52</v>
      </c>
      <c r="D23" s="80" t="s">
        <v>54</v>
      </c>
      <c r="E23" s="80" t="s">
        <v>102</v>
      </c>
      <c r="F23" s="80" t="s">
        <v>99</v>
      </c>
      <c r="G23" s="80" t="s">
        <v>49</v>
      </c>
    </row>
    <row r="24" spans="2:7" ht="14.25" x14ac:dyDescent="0.3">
      <c r="B24" s="83"/>
      <c r="C24" s="101"/>
      <c r="D24" s="83"/>
      <c r="E24" s="92"/>
      <c r="F24" s="83"/>
      <c r="G24" s="83"/>
    </row>
    <row r="25" spans="2:7" ht="14.25" x14ac:dyDescent="0.3">
      <c r="B25" s="83"/>
      <c r="C25" s="101"/>
      <c r="D25" s="83"/>
      <c r="E25" s="92"/>
      <c r="F25" s="83"/>
      <c r="G25" s="83"/>
    </row>
    <row r="26" spans="2:7" ht="14.25" x14ac:dyDescent="0.3">
      <c r="B26" s="123"/>
      <c r="C26" s="124"/>
      <c r="D26" s="125"/>
      <c r="E26" s="126"/>
      <c r="F26" s="125"/>
      <c r="G26" s="127"/>
    </row>
    <row r="27" spans="2:7" ht="23.25" customHeight="1" x14ac:dyDescent="0.2">
      <c r="B27" s="175" t="s">
        <v>70</v>
      </c>
      <c r="C27" s="176"/>
      <c r="D27" s="176"/>
      <c r="E27" s="176"/>
      <c r="F27" s="176"/>
      <c r="G27" s="177"/>
    </row>
    <row r="28" spans="2:7" ht="14.25" x14ac:dyDescent="0.2">
      <c r="B28" s="80" t="s">
        <v>67</v>
      </c>
      <c r="C28" s="80" t="s">
        <v>14</v>
      </c>
      <c r="D28" s="80" t="s">
        <v>66</v>
      </c>
      <c r="E28" s="178" t="s">
        <v>97</v>
      </c>
      <c r="F28" s="179"/>
      <c r="G28" s="80" t="s">
        <v>16</v>
      </c>
    </row>
    <row r="29" spans="2:7" x14ac:dyDescent="0.2">
      <c r="B29" s="56" t="s">
        <v>270</v>
      </c>
      <c r="C29" s="56"/>
      <c r="D29" s="138">
        <v>43291</v>
      </c>
      <c r="E29" s="167" t="s">
        <v>271</v>
      </c>
      <c r="F29" s="168"/>
      <c r="G29" s="56"/>
    </row>
    <row r="30" spans="2:7" ht="88.5" customHeight="1" x14ac:dyDescent="0.2">
      <c r="B30" s="110" t="s">
        <v>62</v>
      </c>
      <c r="C30" s="169" t="s">
        <v>215</v>
      </c>
      <c r="D30" s="169"/>
      <c r="E30" s="169"/>
      <c r="F30" s="169"/>
      <c r="G30" s="169"/>
    </row>
  </sheetData>
  <mergeCells count="8">
    <mergeCell ref="E29:F29"/>
    <mergeCell ref="C30:G30"/>
    <mergeCell ref="B2:G2"/>
    <mergeCell ref="B3:G3"/>
    <mergeCell ref="D4:G4"/>
    <mergeCell ref="B22:G22"/>
    <mergeCell ref="B27:G27"/>
    <mergeCell ref="E28:F28"/>
  </mergeCells>
  <phoneticPr fontId="8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553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5538" r:id="rId4" name="CommandButton2"/>
      </mc:Fallback>
    </mc:AlternateContent>
    <mc:AlternateContent xmlns:mc="http://schemas.openxmlformats.org/markup-compatibility/2006">
      <mc:Choice Requires="x14">
        <control shapeId="65537"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5537"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B2:G29"/>
  <sheetViews>
    <sheetView topLeftCell="B1" workbookViewId="0">
      <selection activeCell="C28" sqref="C28"/>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252</v>
      </c>
      <c r="C2" s="170"/>
      <c r="D2" s="170"/>
      <c r="E2" s="170"/>
      <c r="F2" s="170"/>
      <c r="G2" s="170"/>
    </row>
    <row r="3" spans="2:7" ht="125.25" customHeight="1" x14ac:dyDescent="0.2">
      <c r="B3" s="171" t="s">
        <v>261</v>
      </c>
      <c r="C3" s="171"/>
      <c r="D3" s="171"/>
      <c r="E3" s="171"/>
      <c r="F3" s="171"/>
      <c r="G3" s="171"/>
    </row>
    <row r="4" spans="2:7" ht="13.5" customHeight="1" x14ac:dyDescent="0.2">
      <c r="B4" s="86"/>
      <c r="C4" s="87"/>
      <c r="D4" s="172"/>
      <c r="E4" s="173"/>
      <c r="F4" s="173"/>
      <c r="G4" s="174"/>
    </row>
    <row r="5" spans="2:7" ht="14.25" x14ac:dyDescent="0.3">
      <c r="B5" s="88" t="s">
        <v>14</v>
      </c>
      <c r="C5" s="77" t="s">
        <v>259</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43287</v>
      </c>
      <c r="D13" s="101">
        <v>43287</v>
      </c>
      <c r="E13" s="102"/>
      <c r="F13" s="90"/>
      <c r="G13" s="91"/>
    </row>
    <row r="14" spans="2:7" ht="14.25" x14ac:dyDescent="0.3">
      <c r="B14" s="103" t="s">
        <v>74</v>
      </c>
      <c r="C14" s="101">
        <v>43283</v>
      </c>
      <c r="D14" s="101">
        <v>43290</v>
      </c>
      <c r="E14" s="89"/>
      <c r="F14" s="90"/>
      <c r="G14" s="91"/>
    </row>
    <row r="15" spans="2:7" ht="14.25" x14ac:dyDescent="0.3">
      <c r="B15" s="100" t="s">
        <v>73</v>
      </c>
      <c r="C15" s="101">
        <v>43290</v>
      </c>
      <c r="D15" s="101">
        <v>43290</v>
      </c>
      <c r="E15" s="102"/>
      <c r="F15" s="90"/>
      <c r="G15" s="91"/>
    </row>
    <row r="16" spans="2:7" ht="14.25" x14ac:dyDescent="0.3">
      <c r="B16" s="103" t="s">
        <v>19</v>
      </c>
      <c r="C16" s="101">
        <v>43291</v>
      </c>
      <c r="D16" s="101">
        <v>43291</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266</v>
      </c>
      <c r="C19" s="106">
        <v>43239</v>
      </c>
      <c r="D19" s="85" t="s">
        <v>264</v>
      </c>
      <c r="E19" s="85" t="s">
        <v>268</v>
      </c>
      <c r="F19" s="85" t="s">
        <v>269</v>
      </c>
      <c r="G19" s="85"/>
    </row>
    <row r="20" spans="2:7" ht="43.5" customHeight="1" x14ac:dyDescent="0.2">
      <c r="B20" s="132"/>
      <c r="C20" s="133"/>
      <c r="D20" s="134"/>
      <c r="E20" s="134"/>
      <c r="F20" s="134"/>
      <c r="G20" s="135"/>
    </row>
    <row r="21" spans="2:7" ht="25.5" customHeight="1" x14ac:dyDescent="0.2">
      <c r="B21" s="175" t="s">
        <v>69</v>
      </c>
      <c r="C21" s="176"/>
      <c r="D21" s="176"/>
      <c r="E21" s="176"/>
      <c r="F21" s="176"/>
      <c r="G21" s="177"/>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5" t="s">
        <v>70</v>
      </c>
      <c r="C26" s="176"/>
      <c r="D26" s="176"/>
      <c r="E26" s="176"/>
      <c r="F26" s="176"/>
      <c r="G26" s="177"/>
    </row>
    <row r="27" spans="2:7" ht="14.25" x14ac:dyDescent="0.2">
      <c r="B27" s="80" t="s">
        <v>67</v>
      </c>
      <c r="C27" s="80" t="s">
        <v>14</v>
      </c>
      <c r="D27" s="80" t="s">
        <v>66</v>
      </c>
      <c r="E27" s="178" t="s">
        <v>97</v>
      </c>
      <c r="F27" s="179"/>
      <c r="G27" s="80" t="s">
        <v>16</v>
      </c>
    </row>
    <row r="28" spans="2:7" x14ac:dyDescent="0.2">
      <c r="B28" s="56" t="s">
        <v>270</v>
      </c>
      <c r="C28" s="56"/>
      <c r="D28" s="138">
        <v>43291</v>
      </c>
      <c r="E28" s="167" t="s">
        <v>271</v>
      </c>
      <c r="F28" s="168"/>
      <c r="G28" s="56"/>
    </row>
    <row r="29" spans="2:7" ht="88.5" customHeight="1" x14ac:dyDescent="0.2">
      <c r="B29" s="110" t="s">
        <v>62</v>
      </c>
      <c r="C29" s="169" t="s">
        <v>215</v>
      </c>
      <c r="D29" s="169"/>
      <c r="E29" s="169"/>
      <c r="F29" s="169"/>
      <c r="G29" s="169"/>
    </row>
  </sheetData>
  <mergeCells count="8">
    <mergeCell ref="E28:F28"/>
    <mergeCell ref="C29:G29"/>
    <mergeCell ref="B2:G2"/>
    <mergeCell ref="B3:G3"/>
    <mergeCell ref="D4:G4"/>
    <mergeCell ref="B21:G21"/>
    <mergeCell ref="B26:G26"/>
    <mergeCell ref="E27:F27"/>
  </mergeCells>
  <phoneticPr fontId="70"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451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4514" r:id="rId4" name="CommandButton2"/>
      </mc:Fallback>
    </mc:AlternateContent>
    <mc:AlternateContent xmlns:mc="http://schemas.openxmlformats.org/markup-compatibility/2006">
      <mc:Choice Requires="x14">
        <control shapeId="6451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4513" r:id="rId6"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B2:G29"/>
  <sheetViews>
    <sheetView topLeftCell="B1" workbookViewId="0">
      <selection activeCell="H3" sqref="H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252</v>
      </c>
      <c r="C2" s="170"/>
      <c r="D2" s="170"/>
      <c r="E2" s="170"/>
      <c r="F2" s="170"/>
      <c r="G2" s="170"/>
    </row>
    <row r="3" spans="2:7" ht="125.25" customHeight="1" x14ac:dyDescent="0.2">
      <c r="B3" s="171" t="s">
        <v>253</v>
      </c>
      <c r="C3" s="171"/>
      <c r="D3" s="171"/>
      <c r="E3" s="171"/>
      <c r="F3" s="171"/>
      <c r="G3" s="171"/>
    </row>
    <row r="4" spans="2:7" ht="13.5" customHeight="1" x14ac:dyDescent="0.2">
      <c r="B4" s="86"/>
      <c r="C4" s="87"/>
      <c r="D4" s="172"/>
      <c r="E4" s="173"/>
      <c r="F4" s="173"/>
      <c r="G4" s="174"/>
    </row>
    <row r="5" spans="2:7" ht="14.25" x14ac:dyDescent="0.3">
      <c r="B5" s="88" t="s">
        <v>14</v>
      </c>
      <c r="C5" s="77" t="s">
        <v>254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43270</v>
      </c>
      <c r="D13" s="101">
        <v>43270</v>
      </c>
      <c r="E13" s="102"/>
      <c r="F13" s="90"/>
      <c r="G13" s="91"/>
    </row>
    <row r="14" spans="2:7" ht="14.25" x14ac:dyDescent="0.3">
      <c r="B14" s="103" t="s">
        <v>74</v>
      </c>
      <c r="C14" s="101">
        <v>43270</v>
      </c>
      <c r="D14" s="101">
        <v>43270</v>
      </c>
      <c r="E14" s="89"/>
      <c r="F14" s="90"/>
      <c r="G14" s="91"/>
    </row>
    <row r="15" spans="2:7" ht="14.25" x14ac:dyDescent="0.3">
      <c r="B15" s="100" t="s">
        <v>73</v>
      </c>
      <c r="C15" s="101">
        <v>43270</v>
      </c>
      <c r="D15" s="101">
        <v>43270</v>
      </c>
      <c r="E15" s="102"/>
      <c r="F15" s="90"/>
      <c r="G15" s="91"/>
    </row>
    <row r="16" spans="2:7" ht="14.25" x14ac:dyDescent="0.3">
      <c r="B16" s="103" t="s">
        <v>19</v>
      </c>
      <c r="C16" s="101">
        <v>43270</v>
      </c>
      <c r="D16" s="101">
        <v>43270</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242</v>
      </c>
      <c r="C19" s="106">
        <v>43270</v>
      </c>
      <c r="D19" s="85" t="s">
        <v>256</v>
      </c>
      <c r="E19" s="85"/>
      <c r="F19" s="85"/>
      <c r="G19" s="85"/>
    </row>
    <row r="20" spans="2:7" ht="43.5" customHeight="1" x14ac:dyDescent="0.2">
      <c r="B20" s="132"/>
      <c r="C20" s="133"/>
      <c r="D20" s="134"/>
      <c r="E20" s="134"/>
      <c r="F20" s="134"/>
      <c r="G20" s="135"/>
    </row>
    <row r="21" spans="2:7" ht="25.5" customHeight="1" x14ac:dyDescent="0.2">
      <c r="B21" s="175" t="s">
        <v>69</v>
      </c>
      <c r="C21" s="176"/>
      <c r="D21" s="176"/>
      <c r="E21" s="176"/>
      <c r="F21" s="176"/>
      <c r="G21" s="177"/>
    </row>
    <row r="22" spans="2:7" ht="28.5" x14ac:dyDescent="0.2">
      <c r="B22" s="80" t="s">
        <v>51</v>
      </c>
      <c r="C22" s="80" t="s">
        <v>52</v>
      </c>
      <c r="D22" s="80" t="s">
        <v>54</v>
      </c>
      <c r="E22" s="80" t="s">
        <v>102</v>
      </c>
      <c r="F22" s="80" t="s">
        <v>99</v>
      </c>
      <c r="G22" s="80" t="s">
        <v>49</v>
      </c>
    </row>
    <row r="23" spans="2:7" ht="14.25" x14ac:dyDescent="0.3">
      <c r="B23" s="83"/>
      <c r="C23" s="101"/>
      <c r="D23" s="83"/>
      <c r="E23" s="92"/>
      <c r="F23" s="83"/>
      <c r="G23" s="83"/>
    </row>
    <row r="24" spans="2:7" ht="14.25" x14ac:dyDescent="0.3">
      <c r="B24" s="83"/>
      <c r="C24" s="101"/>
      <c r="D24" s="83"/>
      <c r="E24" s="92"/>
      <c r="F24" s="83"/>
      <c r="G24" s="83"/>
    </row>
    <row r="25" spans="2:7" ht="14.25" x14ac:dyDescent="0.3">
      <c r="B25" s="123"/>
      <c r="C25" s="124"/>
      <c r="D25" s="125"/>
      <c r="E25" s="126"/>
      <c r="F25" s="125"/>
      <c r="G25" s="127"/>
    </row>
    <row r="26" spans="2:7" ht="23.25" customHeight="1" x14ac:dyDescent="0.2">
      <c r="B26" s="175" t="s">
        <v>70</v>
      </c>
      <c r="C26" s="176"/>
      <c r="D26" s="176"/>
      <c r="E26" s="176"/>
      <c r="F26" s="176"/>
      <c r="G26" s="177"/>
    </row>
    <row r="27" spans="2:7" ht="14.25" x14ac:dyDescent="0.2">
      <c r="B27" s="80" t="s">
        <v>67</v>
      </c>
      <c r="C27" s="80" t="s">
        <v>14</v>
      </c>
      <c r="D27" s="80" t="s">
        <v>66</v>
      </c>
      <c r="E27" s="178" t="s">
        <v>97</v>
      </c>
      <c r="F27" s="179"/>
      <c r="G27" s="80" t="s">
        <v>16</v>
      </c>
    </row>
    <row r="28" spans="2:7" x14ac:dyDescent="0.2">
      <c r="B28" s="56"/>
      <c r="C28" s="56"/>
      <c r="D28" s="56"/>
      <c r="E28" s="167"/>
      <c r="F28" s="168"/>
      <c r="G28" s="56"/>
    </row>
    <row r="29" spans="2:7" ht="88.5" customHeight="1" x14ac:dyDescent="0.2">
      <c r="B29" s="110" t="s">
        <v>62</v>
      </c>
      <c r="C29" s="169" t="s">
        <v>215</v>
      </c>
      <c r="D29" s="169"/>
      <c r="E29" s="169"/>
      <c r="F29" s="169"/>
      <c r="G29" s="169"/>
    </row>
  </sheetData>
  <mergeCells count="8">
    <mergeCell ref="E28:F28"/>
    <mergeCell ref="C29:G29"/>
    <mergeCell ref="B2:G2"/>
    <mergeCell ref="B3:G3"/>
    <mergeCell ref="D4:G4"/>
    <mergeCell ref="B21:G21"/>
    <mergeCell ref="B26:G26"/>
    <mergeCell ref="E27:F27"/>
  </mergeCells>
  <phoneticPr fontId="67"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349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3490" r:id="rId4" name="CommandButton2"/>
      </mc:Fallback>
    </mc:AlternateContent>
    <mc:AlternateContent xmlns:mc="http://schemas.openxmlformats.org/markup-compatibility/2006">
      <mc:Choice Requires="x14">
        <control shapeId="6348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3489" r:id="rId6" name="CommandButto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2:G32"/>
  <sheetViews>
    <sheetView topLeftCell="B1" workbookViewId="0">
      <selection activeCell="B2" sqref="B2:G2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245</v>
      </c>
      <c r="C2" s="170"/>
      <c r="D2" s="170"/>
      <c r="E2" s="170"/>
      <c r="F2" s="170"/>
      <c r="G2" s="170"/>
    </row>
    <row r="3" spans="2:7" ht="125.25" customHeight="1" x14ac:dyDescent="0.2">
      <c r="B3" s="171" t="s">
        <v>244</v>
      </c>
      <c r="C3" s="171"/>
      <c r="D3" s="171"/>
      <c r="E3" s="171"/>
      <c r="F3" s="171"/>
      <c r="G3" s="171"/>
    </row>
    <row r="4" spans="2:7" ht="13.5" customHeight="1" x14ac:dyDescent="0.2">
      <c r="B4" s="86"/>
      <c r="C4" s="87"/>
      <c r="D4" s="172"/>
      <c r="E4" s="173"/>
      <c r="F4" s="173"/>
      <c r="G4" s="174"/>
    </row>
    <row r="5" spans="2:7" ht="14.25" x14ac:dyDescent="0.3">
      <c r="B5" s="88" t="s">
        <v>14</v>
      </c>
      <c r="C5" s="77" t="s">
        <v>230</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43206</v>
      </c>
      <c r="D13" s="101">
        <v>43206</v>
      </c>
      <c r="E13" s="102"/>
      <c r="F13" s="90"/>
      <c r="G13" s="91"/>
    </row>
    <row r="14" spans="2:7" ht="14.25" x14ac:dyDescent="0.3">
      <c r="B14" s="103" t="s">
        <v>74</v>
      </c>
      <c r="C14" s="101">
        <v>43209</v>
      </c>
      <c r="D14" s="101">
        <v>43209</v>
      </c>
      <c r="E14" s="89"/>
      <c r="F14" s="90"/>
      <c r="G14" s="91"/>
    </row>
    <row r="15" spans="2:7" ht="14.25" x14ac:dyDescent="0.3">
      <c r="B15" s="100" t="s">
        <v>73</v>
      </c>
      <c r="C15" s="101">
        <v>43210</v>
      </c>
      <c r="D15" s="101">
        <v>43210</v>
      </c>
      <c r="E15" s="102"/>
      <c r="F15" s="90"/>
      <c r="G15" s="91"/>
    </row>
    <row r="16" spans="2:7" ht="14.25" x14ac:dyDescent="0.3">
      <c r="B16" s="103" t="s">
        <v>19</v>
      </c>
      <c r="C16" s="101">
        <v>43215</v>
      </c>
      <c r="D16" s="101">
        <v>43215</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231</v>
      </c>
      <c r="C19" s="106">
        <v>43189</v>
      </c>
      <c r="D19" s="85" t="s">
        <v>232</v>
      </c>
      <c r="E19" s="85" t="s">
        <v>233</v>
      </c>
      <c r="F19" s="85" t="s">
        <v>182</v>
      </c>
      <c r="G19" s="85"/>
    </row>
    <row r="20" spans="2:7" ht="43.5" customHeight="1" x14ac:dyDescent="0.2">
      <c r="B20" s="85" t="s">
        <v>242</v>
      </c>
      <c r="C20" s="106">
        <v>43188</v>
      </c>
      <c r="D20" s="85" t="s">
        <v>234</v>
      </c>
      <c r="E20" s="85" t="s">
        <v>235</v>
      </c>
      <c r="F20" s="85" t="s">
        <v>236</v>
      </c>
      <c r="G20" s="85"/>
    </row>
    <row r="21" spans="2:7" ht="43.5" customHeight="1" x14ac:dyDescent="0.2">
      <c r="B21" s="85" t="s">
        <v>242</v>
      </c>
      <c r="C21" s="106">
        <v>43192</v>
      </c>
      <c r="D21" s="85" t="s">
        <v>237</v>
      </c>
      <c r="E21" s="85" t="s">
        <v>238</v>
      </c>
      <c r="F21" s="85" t="s">
        <v>236</v>
      </c>
      <c r="G21" s="85"/>
    </row>
    <row r="22" spans="2:7" ht="43.5" customHeight="1" x14ac:dyDescent="0.2">
      <c r="B22" s="85" t="s">
        <v>242</v>
      </c>
      <c r="C22" s="106">
        <v>43199</v>
      </c>
      <c r="D22" s="85" t="s">
        <v>239</v>
      </c>
      <c r="E22" s="85" t="s">
        <v>240</v>
      </c>
      <c r="F22" s="85" t="s">
        <v>236</v>
      </c>
      <c r="G22" s="85"/>
    </row>
    <row r="23" spans="2:7" ht="43.5" customHeight="1" x14ac:dyDescent="0.2">
      <c r="B23" s="85" t="s">
        <v>242</v>
      </c>
      <c r="C23" s="106">
        <v>43203</v>
      </c>
      <c r="D23" s="85" t="s">
        <v>241</v>
      </c>
      <c r="E23" s="85" t="s">
        <v>233</v>
      </c>
      <c r="F23" s="85" t="s">
        <v>182</v>
      </c>
      <c r="G23" s="85"/>
    </row>
    <row r="24" spans="2:7" ht="25.5" customHeight="1" x14ac:dyDescent="0.2">
      <c r="B24" s="175" t="s">
        <v>69</v>
      </c>
      <c r="C24" s="176"/>
      <c r="D24" s="176"/>
      <c r="E24" s="176"/>
      <c r="F24" s="176"/>
      <c r="G24" s="177"/>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5" t="s">
        <v>70</v>
      </c>
      <c r="C27" s="176"/>
      <c r="D27" s="176"/>
      <c r="E27" s="176"/>
      <c r="F27" s="176"/>
      <c r="G27" s="177"/>
    </row>
    <row r="28" spans="2:7" ht="14.25" x14ac:dyDescent="0.2">
      <c r="B28" s="80" t="s">
        <v>67</v>
      </c>
      <c r="C28" s="80" t="s">
        <v>14</v>
      </c>
      <c r="D28" s="80" t="s">
        <v>66</v>
      </c>
      <c r="E28" s="178" t="s">
        <v>97</v>
      </c>
      <c r="F28" s="179"/>
      <c r="G28" s="80" t="s">
        <v>16</v>
      </c>
    </row>
    <row r="29" spans="2:7" x14ac:dyDescent="0.2">
      <c r="B29" s="56"/>
      <c r="C29" s="56"/>
      <c r="D29" s="107"/>
      <c r="E29" s="180"/>
      <c r="F29" s="168"/>
      <c r="G29" s="108"/>
    </row>
    <row r="30" spans="2:7" x14ac:dyDescent="0.2">
      <c r="B30" s="109"/>
      <c r="C30" s="56"/>
      <c r="D30" s="107"/>
      <c r="E30" s="181"/>
      <c r="F30" s="182"/>
      <c r="G30" s="108"/>
    </row>
    <row r="31" spans="2:7" x14ac:dyDescent="0.2">
      <c r="B31" s="56"/>
      <c r="C31" s="56"/>
      <c r="D31" s="56"/>
      <c r="E31" s="167"/>
      <c r="F31" s="168"/>
      <c r="G31" s="56"/>
    </row>
    <row r="32" spans="2:7" ht="88.5" customHeight="1" x14ac:dyDescent="0.2">
      <c r="B32" s="110" t="s">
        <v>62</v>
      </c>
      <c r="C32" s="169" t="s">
        <v>215</v>
      </c>
      <c r="D32" s="169"/>
      <c r="E32" s="169"/>
      <c r="F32" s="169"/>
      <c r="G32" s="169"/>
    </row>
  </sheetData>
  <mergeCells count="10">
    <mergeCell ref="E29:F29"/>
    <mergeCell ref="E30:F30"/>
    <mergeCell ref="E31:F31"/>
    <mergeCell ref="C32:G32"/>
    <mergeCell ref="B2:G2"/>
    <mergeCell ref="B3:G3"/>
    <mergeCell ref="D4:G4"/>
    <mergeCell ref="B24:G24"/>
    <mergeCell ref="B27:G27"/>
    <mergeCell ref="E28:F28"/>
  </mergeCells>
  <phoneticPr fontId="64"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2466"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2466" r:id="rId4" name="CommandButton2"/>
      </mc:Fallback>
    </mc:AlternateContent>
    <mc:AlternateContent xmlns:mc="http://schemas.openxmlformats.org/markup-compatibility/2006">
      <mc:Choice Requires="x14">
        <control shapeId="62465"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2465" r:id="rId6"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B2:G33"/>
  <sheetViews>
    <sheetView topLeftCell="B1" workbookViewId="0">
      <selection activeCell="M3" sqref="M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216</v>
      </c>
      <c r="C2" s="170"/>
      <c r="D2" s="170"/>
      <c r="E2" s="170"/>
      <c r="F2" s="170"/>
      <c r="G2" s="170"/>
    </row>
    <row r="3" spans="2:7" ht="125.25" customHeight="1" x14ac:dyDescent="0.2">
      <c r="B3" s="171" t="s">
        <v>217</v>
      </c>
      <c r="C3" s="171"/>
      <c r="D3" s="171"/>
      <c r="E3" s="171"/>
      <c r="F3" s="171"/>
      <c r="G3" s="171"/>
    </row>
    <row r="4" spans="2:7" ht="13.5" customHeight="1" x14ac:dyDescent="0.2">
      <c r="B4" s="86"/>
      <c r="C4" s="87"/>
      <c r="D4" s="172"/>
      <c r="E4" s="173"/>
      <c r="F4" s="173"/>
      <c r="G4" s="174"/>
    </row>
    <row r="5" spans="2:7" ht="14.25" x14ac:dyDescent="0.3">
      <c r="B5" s="88" t="s">
        <v>14</v>
      </c>
      <c r="C5" s="77" t="s">
        <v>211</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43171</v>
      </c>
      <c r="D13" s="101">
        <v>43171</v>
      </c>
      <c r="E13" s="102"/>
      <c r="F13" s="90"/>
      <c r="G13" s="91"/>
    </row>
    <row r="14" spans="2:7" ht="14.25" x14ac:dyDescent="0.3">
      <c r="B14" s="103" t="s">
        <v>74</v>
      </c>
      <c r="C14" s="101">
        <v>43171</v>
      </c>
      <c r="D14" s="101">
        <v>43173</v>
      </c>
      <c r="E14" s="89"/>
      <c r="F14" s="90"/>
      <c r="G14" s="91"/>
    </row>
    <row r="15" spans="2:7" ht="14.25" x14ac:dyDescent="0.3">
      <c r="B15" s="100" t="s">
        <v>73</v>
      </c>
      <c r="C15" s="101">
        <v>43172</v>
      </c>
      <c r="D15" s="101">
        <v>43173</v>
      </c>
      <c r="E15" s="102"/>
      <c r="F15" s="90"/>
      <c r="G15" s="91"/>
    </row>
    <row r="16" spans="2:7" ht="14.25" x14ac:dyDescent="0.3">
      <c r="B16" s="103" t="s">
        <v>19</v>
      </c>
      <c r="C16" s="101">
        <v>43174</v>
      </c>
      <c r="D16" s="101">
        <v>43174</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43.5" customHeight="1" x14ac:dyDescent="0.2">
      <c r="B19" s="85" t="s">
        <v>208</v>
      </c>
      <c r="C19" s="106">
        <v>43119</v>
      </c>
      <c r="D19" s="85" t="s">
        <v>214</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ht="14.25" customHeight="1" x14ac:dyDescent="0.2">
      <c r="B23" s="85"/>
      <c r="C23" s="106"/>
      <c r="D23" s="85"/>
      <c r="E23" s="85"/>
      <c r="F23" s="85"/>
      <c r="G23" s="85"/>
    </row>
    <row r="24" spans="2:7" x14ac:dyDescent="0.2">
      <c r="B24" s="85"/>
      <c r="C24" s="106"/>
      <c r="D24" s="85"/>
      <c r="E24" s="85"/>
      <c r="F24" s="85"/>
      <c r="G24" s="85"/>
    </row>
    <row r="25" spans="2:7" ht="25.5" customHeight="1" x14ac:dyDescent="0.2">
      <c r="B25" s="175" t="s">
        <v>69</v>
      </c>
      <c r="C25" s="176"/>
      <c r="D25" s="176"/>
      <c r="E25" s="176"/>
      <c r="F25" s="176"/>
      <c r="G25" s="177"/>
    </row>
    <row r="26" spans="2:7" ht="28.5" x14ac:dyDescent="0.2">
      <c r="B26" s="80" t="s">
        <v>51</v>
      </c>
      <c r="C26" s="80" t="s">
        <v>52</v>
      </c>
      <c r="D26" s="80" t="s">
        <v>54</v>
      </c>
      <c r="E26" s="80" t="s">
        <v>102</v>
      </c>
      <c r="F26" s="80" t="s">
        <v>99</v>
      </c>
      <c r="G26" s="80" t="s">
        <v>49</v>
      </c>
    </row>
    <row r="27" spans="2:7" ht="14.25" x14ac:dyDescent="0.3">
      <c r="B27" s="83"/>
      <c r="C27" s="101"/>
      <c r="D27" s="83"/>
      <c r="E27" s="92"/>
      <c r="F27" s="83"/>
      <c r="G27" s="83"/>
    </row>
    <row r="28" spans="2:7" ht="23.25" customHeight="1" x14ac:dyDescent="0.2">
      <c r="B28" s="175" t="s">
        <v>70</v>
      </c>
      <c r="C28" s="176"/>
      <c r="D28" s="176"/>
      <c r="E28" s="176"/>
      <c r="F28" s="176"/>
      <c r="G28" s="177"/>
    </row>
    <row r="29" spans="2:7" ht="14.25" x14ac:dyDescent="0.2">
      <c r="B29" s="80" t="s">
        <v>67</v>
      </c>
      <c r="C29" s="80" t="s">
        <v>14</v>
      </c>
      <c r="D29" s="80" t="s">
        <v>66</v>
      </c>
      <c r="E29" s="178" t="s">
        <v>97</v>
      </c>
      <c r="F29" s="179"/>
      <c r="G29" s="80" t="s">
        <v>16</v>
      </c>
    </row>
    <row r="30" spans="2:7" x14ac:dyDescent="0.2">
      <c r="B30" s="56"/>
      <c r="C30" s="56"/>
      <c r="D30" s="107"/>
      <c r="E30" s="180"/>
      <c r="F30" s="168"/>
      <c r="G30" s="108"/>
    </row>
    <row r="31" spans="2:7" x14ac:dyDescent="0.2">
      <c r="B31" s="109"/>
      <c r="C31" s="56"/>
      <c r="D31" s="107"/>
      <c r="E31" s="181"/>
      <c r="F31" s="182"/>
      <c r="G31" s="108"/>
    </row>
    <row r="32" spans="2:7" x14ac:dyDescent="0.2">
      <c r="B32" s="56"/>
      <c r="C32" s="56"/>
      <c r="D32" s="56"/>
      <c r="E32" s="167"/>
      <c r="F32" s="168"/>
      <c r="G32" s="56"/>
    </row>
    <row r="33" spans="2:7" ht="88.5" customHeight="1" x14ac:dyDescent="0.2">
      <c r="B33" s="110" t="s">
        <v>62</v>
      </c>
      <c r="C33" s="169" t="s">
        <v>215</v>
      </c>
      <c r="D33" s="169"/>
      <c r="E33" s="169"/>
      <c r="F33" s="169"/>
      <c r="G33" s="169"/>
    </row>
  </sheetData>
  <mergeCells count="10">
    <mergeCell ref="E30:F30"/>
    <mergeCell ref="E31:F31"/>
    <mergeCell ref="E32:F32"/>
    <mergeCell ref="C33:G33"/>
    <mergeCell ref="B2:G2"/>
    <mergeCell ref="B3:G3"/>
    <mergeCell ref="D4:G4"/>
    <mergeCell ref="B25:G25"/>
    <mergeCell ref="B28:G28"/>
    <mergeCell ref="E29:F29"/>
  </mergeCells>
  <phoneticPr fontId="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61442"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61442" r:id="rId4" name="CommandButton2"/>
      </mc:Fallback>
    </mc:AlternateContent>
    <mc:AlternateContent xmlns:mc="http://schemas.openxmlformats.org/markup-compatibility/2006">
      <mc:Choice Requires="x14">
        <control shapeId="61441"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61441" r:id="rId6" name="CommandButton1"/>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B2:G32"/>
  <sheetViews>
    <sheetView topLeftCell="B20" workbookViewId="0">
      <selection activeCell="L32" sqref="L32"/>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207</v>
      </c>
      <c r="C2" s="170"/>
      <c r="D2" s="170"/>
      <c r="E2" s="170"/>
      <c r="F2" s="170"/>
      <c r="G2" s="170"/>
    </row>
    <row r="3" spans="2:7" ht="125.25" customHeight="1" x14ac:dyDescent="0.2">
      <c r="B3" s="171" t="s">
        <v>206</v>
      </c>
      <c r="C3" s="171"/>
      <c r="D3" s="171"/>
      <c r="E3" s="171"/>
      <c r="F3" s="171"/>
      <c r="G3" s="171"/>
    </row>
    <row r="4" spans="2:7" ht="13.5" customHeight="1" x14ac:dyDescent="0.2">
      <c r="B4" s="86"/>
      <c r="C4" s="87"/>
      <c r="D4" s="172"/>
      <c r="E4" s="173"/>
      <c r="F4" s="173"/>
      <c r="G4" s="174"/>
    </row>
    <row r="5" spans="2:7" ht="14.25" x14ac:dyDescent="0.3">
      <c r="B5" s="88" t="s">
        <v>14</v>
      </c>
      <c r="C5" s="77" t="s">
        <v>204</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43045</v>
      </c>
      <c r="D13" s="101">
        <v>43045</v>
      </c>
      <c r="E13" s="102"/>
      <c r="F13" s="90"/>
      <c r="G13" s="91"/>
    </row>
    <row r="14" spans="2:7" ht="14.25" x14ac:dyDescent="0.3">
      <c r="B14" s="103" t="s">
        <v>74</v>
      </c>
      <c r="C14" s="101">
        <v>43045</v>
      </c>
      <c r="D14" s="101">
        <v>43049</v>
      </c>
      <c r="E14" s="89"/>
      <c r="F14" s="90"/>
      <c r="G14" s="91"/>
    </row>
    <row r="15" spans="2:7" ht="14.25" x14ac:dyDescent="0.3">
      <c r="B15" s="100" t="s">
        <v>73</v>
      </c>
      <c r="C15" s="101">
        <v>43047</v>
      </c>
      <c r="D15" s="101">
        <v>43049</v>
      </c>
      <c r="E15" s="102"/>
      <c r="F15" s="90"/>
      <c r="G15" s="91"/>
    </row>
    <row r="16" spans="2:7" ht="14.25" x14ac:dyDescent="0.3">
      <c r="B16" s="103" t="s">
        <v>19</v>
      </c>
      <c r="C16" s="101">
        <v>43052</v>
      </c>
      <c r="D16" s="101">
        <v>43052</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198</v>
      </c>
      <c r="C19" s="106">
        <v>43024</v>
      </c>
      <c r="D19" s="85" t="s">
        <v>205</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ht="14.25" customHeight="1" x14ac:dyDescent="0.2">
      <c r="B22" s="85"/>
      <c r="C22" s="106"/>
      <c r="D22" s="85"/>
      <c r="E22" s="85"/>
      <c r="F22" s="85"/>
      <c r="G22" s="85"/>
    </row>
    <row r="23" spans="2:7" x14ac:dyDescent="0.2">
      <c r="B23" s="85"/>
      <c r="C23" s="106"/>
      <c r="D23" s="85"/>
      <c r="E23" s="85"/>
      <c r="F23" s="85"/>
      <c r="G23" s="85"/>
    </row>
    <row r="24" spans="2:7" ht="25.5" customHeight="1" x14ac:dyDescent="0.2">
      <c r="B24" s="175" t="s">
        <v>69</v>
      </c>
      <c r="C24" s="176"/>
      <c r="D24" s="176"/>
      <c r="E24" s="176"/>
      <c r="F24" s="176"/>
      <c r="G24" s="177"/>
    </row>
    <row r="25" spans="2:7" ht="28.5" x14ac:dyDescent="0.2">
      <c r="B25" s="80" t="s">
        <v>51</v>
      </c>
      <c r="C25" s="80" t="s">
        <v>52</v>
      </c>
      <c r="D25" s="80" t="s">
        <v>54</v>
      </c>
      <c r="E25" s="80" t="s">
        <v>102</v>
      </c>
      <c r="F25" s="80" t="s">
        <v>99</v>
      </c>
      <c r="G25" s="80" t="s">
        <v>49</v>
      </c>
    </row>
    <row r="26" spans="2:7" ht="14.25" x14ac:dyDescent="0.3">
      <c r="B26" s="83"/>
      <c r="C26" s="101"/>
      <c r="D26" s="83"/>
      <c r="E26" s="92"/>
      <c r="F26" s="83"/>
      <c r="G26" s="83"/>
    </row>
    <row r="27" spans="2:7" ht="23.25" customHeight="1" x14ac:dyDescent="0.2">
      <c r="B27" s="175" t="s">
        <v>70</v>
      </c>
      <c r="C27" s="176"/>
      <c r="D27" s="176"/>
      <c r="E27" s="176"/>
      <c r="F27" s="176"/>
      <c r="G27" s="177"/>
    </row>
    <row r="28" spans="2:7" ht="14.25" x14ac:dyDescent="0.2">
      <c r="B28" s="80" t="s">
        <v>67</v>
      </c>
      <c r="C28" s="80" t="s">
        <v>14</v>
      </c>
      <c r="D28" s="80" t="s">
        <v>66</v>
      </c>
      <c r="E28" s="178" t="s">
        <v>97</v>
      </c>
      <c r="F28" s="179"/>
      <c r="G28" s="80" t="s">
        <v>16</v>
      </c>
    </row>
    <row r="29" spans="2:7" x14ac:dyDescent="0.2">
      <c r="B29" s="56"/>
      <c r="C29" s="56"/>
      <c r="D29" s="107"/>
      <c r="E29" s="180"/>
      <c r="F29" s="168"/>
      <c r="G29" s="108"/>
    </row>
    <row r="30" spans="2:7" x14ac:dyDescent="0.2">
      <c r="B30" s="109"/>
      <c r="C30" s="56"/>
      <c r="D30" s="107"/>
      <c r="E30" s="181"/>
      <c r="F30" s="182"/>
      <c r="G30" s="108"/>
    </row>
    <row r="31" spans="2:7" x14ac:dyDescent="0.2">
      <c r="B31" s="56"/>
      <c r="C31" s="56"/>
      <c r="D31" s="56"/>
      <c r="E31" s="167"/>
      <c r="F31" s="168"/>
      <c r="G31" s="56"/>
    </row>
    <row r="32" spans="2:7" ht="88.5" customHeight="1" x14ac:dyDescent="0.2">
      <c r="B32" s="110" t="s">
        <v>62</v>
      </c>
      <c r="C32" s="169" t="s">
        <v>215</v>
      </c>
      <c r="D32" s="169"/>
      <c r="E32" s="169"/>
      <c r="F32" s="169"/>
      <c r="G32" s="169"/>
    </row>
  </sheetData>
  <mergeCells count="10">
    <mergeCell ref="E29:F29"/>
    <mergeCell ref="E30:F30"/>
    <mergeCell ref="E31:F31"/>
    <mergeCell ref="C32:G32"/>
    <mergeCell ref="B2:G2"/>
    <mergeCell ref="B3:G3"/>
    <mergeCell ref="D4:G4"/>
    <mergeCell ref="B24:G24"/>
    <mergeCell ref="B27:G27"/>
    <mergeCell ref="E28:F28"/>
  </mergeCells>
  <phoneticPr fontId="59"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9394"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9394" r:id="rId4" name="CommandButton2"/>
      </mc:Fallback>
    </mc:AlternateContent>
    <mc:AlternateContent xmlns:mc="http://schemas.openxmlformats.org/markup-compatibility/2006">
      <mc:Choice Requires="x14">
        <control shapeId="59393"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9393" r:id="rId6" name="CommandButton1"/>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2:G31"/>
  <sheetViews>
    <sheetView topLeftCell="B5" workbookViewId="0">
      <selection activeCell="B3" sqref="B3:G3"/>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196</v>
      </c>
      <c r="C2" s="170"/>
      <c r="D2" s="170"/>
      <c r="E2" s="170"/>
      <c r="F2" s="170"/>
      <c r="G2" s="170"/>
    </row>
    <row r="3" spans="2:7" ht="125.25" customHeight="1" x14ac:dyDescent="0.2">
      <c r="B3" s="171" t="s">
        <v>197</v>
      </c>
      <c r="C3" s="171"/>
      <c r="D3" s="171"/>
      <c r="E3" s="171"/>
      <c r="F3" s="171"/>
      <c r="G3" s="171"/>
    </row>
    <row r="4" spans="2:7" ht="13.5" customHeight="1" x14ac:dyDescent="0.2">
      <c r="B4" s="86"/>
      <c r="C4" s="87"/>
      <c r="D4" s="172"/>
      <c r="E4" s="173"/>
      <c r="F4" s="173"/>
      <c r="G4" s="174"/>
    </row>
    <row r="5" spans="2:7" ht="14.25" x14ac:dyDescent="0.3">
      <c r="B5" s="88" t="s">
        <v>14</v>
      </c>
      <c r="C5" s="77" t="s">
        <v>195</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17</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42950</v>
      </c>
      <c r="D13" s="101">
        <v>42950</v>
      </c>
      <c r="E13" s="102"/>
      <c r="F13" s="90"/>
      <c r="G13" s="91"/>
    </row>
    <row r="14" spans="2:7" ht="14.25" x14ac:dyDescent="0.3">
      <c r="B14" s="103" t="s">
        <v>74</v>
      </c>
      <c r="C14" s="101">
        <v>42950</v>
      </c>
      <c r="D14" s="101">
        <v>42956</v>
      </c>
      <c r="E14" s="89"/>
      <c r="F14" s="90"/>
      <c r="G14" s="91"/>
    </row>
    <row r="15" spans="2:7" ht="14.25" x14ac:dyDescent="0.3">
      <c r="B15" s="100" t="s">
        <v>73</v>
      </c>
      <c r="C15" s="101">
        <v>42954</v>
      </c>
      <c r="D15" s="101">
        <v>42956</v>
      </c>
      <c r="E15" s="102"/>
      <c r="F15" s="90"/>
      <c r="G15" s="91"/>
    </row>
    <row r="16" spans="2:7" ht="14.25" x14ac:dyDescent="0.3">
      <c r="B16" s="103" t="s">
        <v>19</v>
      </c>
      <c r="C16" s="101">
        <v>42957</v>
      </c>
      <c r="D16" s="101">
        <v>42957</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14.25" customHeight="1" x14ac:dyDescent="0.2">
      <c r="B20" s="85"/>
      <c r="C20" s="106"/>
      <c r="D20" s="85"/>
      <c r="E20" s="85"/>
      <c r="F20" s="85"/>
      <c r="G20" s="85"/>
    </row>
    <row r="21" spans="2:7" ht="14.25" customHeight="1" x14ac:dyDescent="0.2">
      <c r="B21" s="85"/>
      <c r="C21" s="106"/>
      <c r="D21" s="85"/>
      <c r="E21" s="85"/>
      <c r="F21" s="85"/>
      <c r="G21" s="85"/>
    </row>
    <row r="22" spans="2:7" x14ac:dyDescent="0.2">
      <c r="B22" s="85"/>
      <c r="C22" s="106"/>
      <c r="D22" s="85"/>
      <c r="E22" s="85"/>
      <c r="F22" s="85"/>
      <c r="G22" s="85"/>
    </row>
    <row r="23" spans="2:7" ht="25.5" customHeight="1" x14ac:dyDescent="0.2">
      <c r="B23" s="175" t="s">
        <v>69</v>
      </c>
      <c r="C23" s="176"/>
      <c r="D23" s="176"/>
      <c r="E23" s="176"/>
      <c r="F23" s="176"/>
      <c r="G23" s="177"/>
    </row>
    <row r="24" spans="2:7" ht="28.5" x14ac:dyDescent="0.2">
      <c r="B24" s="80" t="s">
        <v>51</v>
      </c>
      <c r="C24" s="80" t="s">
        <v>52</v>
      </c>
      <c r="D24" s="80" t="s">
        <v>54</v>
      </c>
      <c r="E24" s="80" t="s">
        <v>102</v>
      </c>
      <c r="F24" s="80" t="s">
        <v>99</v>
      </c>
      <c r="G24" s="80" t="s">
        <v>49</v>
      </c>
    </row>
    <row r="25" spans="2:7" ht="14.25" x14ac:dyDescent="0.3">
      <c r="B25" s="83"/>
      <c r="C25" s="101"/>
      <c r="D25" s="83"/>
      <c r="E25" s="92"/>
      <c r="F25" s="83"/>
      <c r="G25" s="83"/>
    </row>
    <row r="26" spans="2:7" ht="23.25" customHeight="1" x14ac:dyDescent="0.2">
      <c r="B26" s="175" t="s">
        <v>70</v>
      </c>
      <c r="C26" s="176"/>
      <c r="D26" s="176"/>
      <c r="E26" s="176"/>
      <c r="F26" s="176"/>
      <c r="G26" s="177"/>
    </row>
    <row r="27" spans="2:7" ht="14.25" x14ac:dyDescent="0.2">
      <c r="B27" s="80" t="s">
        <v>67</v>
      </c>
      <c r="C27" s="80" t="s">
        <v>14</v>
      </c>
      <c r="D27" s="80" t="s">
        <v>66</v>
      </c>
      <c r="E27" s="178" t="s">
        <v>97</v>
      </c>
      <c r="F27" s="179"/>
      <c r="G27" s="80" t="s">
        <v>16</v>
      </c>
    </row>
    <row r="28" spans="2:7" x14ac:dyDescent="0.2">
      <c r="B28" s="56"/>
      <c r="C28" s="56"/>
      <c r="D28" s="107"/>
      <c r="E28" s="180"/>
      <c r="F28" s="168"/>
      <c r="G28" s="108"/>
    </row>
    <row r="29" spans="2:7" x14ac:dyDescent="0.2">
      <c r="B29" s="109"/>
      <c r="C29" s="56"/>
      <c r="D29" s="107"/>
      <c r="E29" s="181"/>
      <c r="F29" s="182"/>
      <c r="G29" s="108"/>
    </row>
    <row r="30" spans="2:7" x14ac:dyDescent="0.2">
      <c r="B30" s="56"/>
      <c r="C30" s="56"/>
      <c r="D30" s="56"/>
      <c r="E30" s="167"/>
      <c r="F30" s="168"/>
      <c r="G30" s="56"/>
    </row>
    <row r="31" spans="2:7" ht="88.5" customHeight="1" x14ac:dyDescent="0.2">
      <c r="B31" s="110" t="s">
        <v>62</v>
      </c>
      <c r="C31" s="169" t="s">
        <v>155</v>
      </c>
      <c r="D31" s="169"/>
      <c r="E31" s="169"/>
      <c r="F31" s="169"/>
      <c r="G31" s="169"/>
    </row>
  </sheetData>
  <mergeCells count="10">
    <mergeCell ref="E28:F28"/>
    <mergeCell ref="E29:F29"/>
    <mergeCell ref="E30:F30"/>
    <mergeCell ref="C31:G31"/>
    <mergeCell ref="B2:G2"/>
    <mergeCell ref="B3:G3"/>
    <mergeCell ref="D4:G4"/>
    <mergeCell ref="B23:G23"/>
    <mergeCell ref="B26:G26"/>
    <mergeCell ref="E27:F27"/>
  </mergeCells>
  <phoneticPr fontId="55"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58370"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58370" r:id="rId4" name="CommandButton2"/>
      </mc:Fallback>
    </mc:AlternateContent>
    <mc:AlternateContent xmlns:mc="http://schemas.openxmlformats.org/markup-compatibility/2006">
      <mc:Choice Requires="x14">
        <control shapeId="58369"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58369" r:id="rId6" name="CommandButto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G29"/>
  <sheetViews>
    <sheetView topLeftCell="B1" workbookViewId="0">
      <selection sqref="A1:A65536"/>
    </sheetView>
  </sheetViews>
  <sheetFormatPr defaultColWidth="4.5703125" defaultRowHeight="12.75" x14ac:dyDescent="0.2"/>
  <cols>
    <col min="1" max="1" width="0" hidden="1" customWidth="1"/>
    <col min="2" max="3" width="18.7109375" customWidth="1"/>
    <col min="4" max="4" width="48.7109375" customWidth="1"/>
    <col min="5" max="7" width="12.7109375" customWidth="1"/>
  </cols>
  <sheetData>
    <row r="2" spans="2:7" ht="37.5" customHeight="1" x14ac:dyDescent="0.2">
      <c r="B2" s="170" t="s">
        <v>183</v>
      </c>
      <c r="C2" s="170"/>
      <c r="D2" s="170"/>
      <c r="E2" s="170"/>
      <c r="F2" s="170"/>
      <c r="G2" s="170"/>
    </row>
    <row r="3" spans="2:7" ht="125.25" customHeight="1" x14ac:dyDescent="0.2">
      <c r="B3" s="171" t="s">
        <v>194</v>
      </c>
      <c r="C3" s="171"/>
      <c r="D3" s="171"/>
      <c r="E3" s="171"/>
      <c r="F3" s="171"/>
      <c r="G3" s="171"/>
    </row>
    <row r="4" spans="2:7" ht="13.5" customHeight="1" x14ac:dyDescent="0.2">
      <c r="B4" s="86"/>
      <c r="C4" s="87"/>
      <c r="D4" s="172"/>
      <c r="E4" s="173"/>
      <c r="F4" s="173"/>
      <c r="G4" s="174"/>
    </row>
    <row r="5" spans="2:7" ht="14.25" x14ac:dyDescent="0.3">
      <c r="B5" s="88" t="s">
        <v>14</v>
      </c>
      <c r="C5" s="77" t="s">
        <v>172</v>
      </c>
      <c r="D5" s="89"/>
      <c r="E5" s="90"/>
      <c r="F5" s="90"/>
      <c r="G5" s="91"/>
    </row>
    <row r="6" spans="2:7" ht="14.25" customHeight="1" x14ac:dyDescent="0.3">
      <c r="B6" s="83" t="s">
        <v>154</v>
      </c>
      <c r="C6" s="92">
        <f>COUNTIF(ISR清单!I4:I47,"待分析")</f>
        <v>0</v>
      </c>
      <c r="D6" s="89"/>
      <c r="E6" s="90"/>
      <c r="F6" s="90"/>
      <c r="G6" s="91"/>
    </row>
    <row r="7" spans="2:7" ht="14.25" customHeight="1" x14ac:dyDescent="0.3">
      <c r="B7" s="83" t="s">
        <v>146</v>
      </c>
      <c r="C7" s="92">
        <f>COUNTIF(ISR清单!I4:I47,"待排期")</f>
        <v>0</v>
      </c>
      <c r="D7" s="89"/>
      <c r="E7" s="90"/>
      <c r="F7" s="90"/>
      <c r="G7" s="91"/>
    </row>
    <row r="8" spans="2:7" ht="14.25" customHeight="1" x14ac:dyDescent="0.3">
      <c r="B8" s="83" t="s">
        <v>147</v>
      </c>
      <c r="C8" s="92">
        <f>COUNTIF(ISR清单!I4:I47,"已挂起")</f>
        <v>0</v>
      </c>
      <c r="D8" s="89"/>
      <c r="E8" s="90"/>
      <c r="F8" s="90"/>
      <c r="G8" s="91"/>
    </row>
    <row r="9" spans="2:7" ht="14.25" customHeight="1" x14ac:dyDescent="0.3">
      <c r="B9" s="83" t="s">
        <v>148</v>
      </c>
      <c r="C9" s="92"/>
      <c r="D9" s="89"/>
      <c r="E9" s="90"/>
      <c r="F9" s="90"/>
      <c r="G9" s="91"/>
    </row>
    <row r="10" spans="2:7" s="50" customFormat="1" ht="12.75" customHeight="1" x14ac:dyDescent="0.2">
      <c r="B10" s="70" t="s">
        <v>149</v>
      </c>
      <c r="C10" s="93"/>
      <c r="D10" s="94"/>
      <c r="E10" s="90"/>
      <c r="F10" s="90"/>
      <c r="G10" s="91"/>
    </row>
    <row r="11" spans="2:7" ht="14.25" customHeight="1" x14ac:dyDescent="0.2">
      <c r="B11" s="95"/>
      <c r="C11" s="96"/>
      <c r="D11" s="96"/>
      <c r="E11" s="97"/>
      <c r="F11" s="97"/>
      <c r="G11" s="98"/>
    </row>
    <row r="12" spans="2:7" ht="14.25" x14ac:dyDescent="0.3">
      <c r="B12" s="79" t="s">
        <v>18</v>
      </c>
      <c r="C12" s="79" t="s">
        <v>59</v>
      </c>
      <c r="D12" s="79" t="s">
        <v>58</v>
      </c>
      <c r="E12" s="78"/>
      <c r="F12" s="71"/>
      <c r="G12" s="99"/>
    </row>
    <row r="13" spans="2:7" ht="28.5" x14ac:dyDescent="0.3">
      <c r="B13" s="100" t="s">
        <v>75</v>
      </c>
      <c r="C13" s="101">
        <v>42900</v>
      </c>
      <c r="D13" s="101">
        <v>42900</v>
      </c>
      <c r="E13" s="102"/>
      <c r="F13" s="90"/>
      <c r="G13" s="91"/>
    </row>
    <row r="14" spans="2:7" ht="14.25" x14ac:dyDescent="0.3">
      <c r="B14" s="103" t="s">
        <v>74</v>
      </c>
      <c r="C14" s="101">
        <v>42901</v>
      </c>
      <c r="D14" s="101">
        <v>42907</v>
      </c>
      <c r="E14" s="89"/>
      <c r="F14" s="90"/>
      <c r="G14" s="91"/>
    </row>
    <row r="15" spans="2:7" ht="14.25" x14ac:dyDescent="0.3">
      <c r="B15" s="100" t="s">
        <v>73</v>
      </c>
      <c r="C15" s="101">
        <v>42905</v>
      </c>
      <c r="D15" s="101">
        <v>42907</v>
      </c>
      <c r="E15" s="102"/>
      <c r="F15" s="90"/>
      <c r="G15" s="91"/>
    </row>
    <row r="16" spans="2:7" ht="14.25" x14ac:dyDescent="0.3">
      <c r="B16" s="103" t="s">
        <v>19</v>
      </c>
      <c r="C16" s="101">
        <v>42908</v>
      </c>
      <c r="D16" s="101">
        <v>42908</v>
      </c>
      <c r="E16" s="102"/>
      <c r="F16" s="90"/>
      <c r="G16" s="91"/>
    </row>
    <row r="17" spans="2:7" ht="14.25" x14ac:dyDescent="0.2">
      <c r="B17" s="104" t="s">
        <v>68</v>
      </c>
      <c r="C17" s="84"/>
      <c r="D17" s="84"/>
      <c r="E17" s="84"/>
      <c r="F17" s="84"/>
      <c r="G17" s="105"/>
    </row>
    <row r="18" spans="2:7" ht="28.5" x14ac:dyDescent="0.2">
      <c r="B18" s="80" t="s">
        <v>190</v>
      </c>
      <c r="C18" s="81" t="s">
        <v>44</v>
      </c>
      <c r="D18" s="80" t="s">
        <v>46</v>
      </c>
      <c r="E18" s="80" t="s">
        <v>48</v>
      </c>
      <c r="F18" s="82" t="s">
        <v>192</v>
      </c>
      <c r="G18" s="80" t="s">
        <v>191</v>
      </c>
    </row>
    <row r="19" spans="2:7" ht="14.25" customHeight="1" x14ac:dyDescent="0.2">
      <c r="B19" s="85" t="s">
        <v>179</v>
      </c>
      <c r="C19" s="106">
        <v>42888</v>
      </c>
      <c r="D19" s="85" t="s">
        <v>180</v>
      </c>
      <c r="E19" s="85" t="s">
        <v>181</v>
      </c>
      <c r="F19" s="85" t="s">
        <v>182</v>
      </c>
      <c r="G19" s="85"/>
    </row>
    <row r="20" spans="2:7" ht="22.5" x14ac:dyDescent="0.2">
      <c r="B20" s="85" t="s">
        <v>168</v>
      </c>
      <c r="C20" s="106">
        <v>42877</v>
      </c>
      <c r="D20" s="85" t="s">
        <v>193</v>
      </c>
      <c r="E20" s="85" t="s">
        <v>164</v>
      </c>
      <c r="F20" s="85" t="s">
        <v>166</v>
      </c>
      <c r="G20" s="85"/>
    </row>
    <row r="21" spans="2:7" ht="25.5" customHeight="1" x14ac:dyDescent="0.2">
      <c r="B21" s="175" t="s">
        <v>150</v>
      </c>
      <c r="C21" s="176"/>
      <c r="D21" s="176"/>
      <c r="E21" s="176"/>
      <c r="F21" s="176"/>
      <c r="G21" s="177"/>
    </row>
    <row r="22" spans="2:7" ht="28.5" x14ac:dyDescent="0.2">
      <c r="B22" s="80" t="s">
        <v>151</v>
      </c>
      <c r="C22" s="80" t="s">
        <v>52</v>
      </c>
      <c r="D22" s="80" t="s">
        <v>54</v>
      </c>
      <c r="E22" s="80" t="s">
        <v>152</v>
      </c>
      <c r="F22" s="80" t="s">
        <v>99</v>
      </c>
      <c r="G22" s="80" t="s">
        <v>153</v>
      </c>
    </row>
    <row r="23" spans="2:7" ht="14.25" x14ac:dyDescent="0.3">
      <c r="B23" s="83"/>
      <c r="C23" s="101"/>
      <c r="D23" s="83"/>
      <c r="E23" s="92"/>
      <c r="F23" s="83"/>
      <c r="G23" s="83"/>
    </row>
    <row r="24" spans="2:7" ht="23.25" customHeight="1" x14ac:dyDescent="0.2">
      <c r="B24" s="175" t="s">
        <v>70</v>
      </c>
      <c r="C24" s="176"/>
      <c r="D24" s="176"/>
      <c r="E24" s="176"/>
      <c r="F24" s="176"/>
      <c r="G24" s="177"/>
    </row>
    <row r="25" spans="2:7" ht="14.25" x14ac:dyDescent="0.2">
      <c r="B25" s="80" t="s">
        <v>67</v>
      </c>
      <c r="C25" s="80" t="s">
        <v>14</v>
      </c>
      <c r="D25" s="80" t="s">
        <v>66</v>
      </c>
      <c r="E25" s="178" t="s">
        <v>97</v>
      </c>
      <c r="F25" s="179"/>
      <c r="G25" s="80" t="s">
        <v>16</v>
      </c>
    </row>
    <row r="26" spans="2:7" x14ac:dyDescent="0.2">
      <c r="B26" s="56" t="s">
        <v>184</v>
      </c>
      <c r="C26" s="56" t="s">
        <v>185</v>
      </c>
      <c r="D26" s="107">
        <v>42908</v>
      </c>
      <c r="E26" s="180" t="s">
        <v>186</v>
      </c>
      <c r="F26" s="168"/>
      <c r="G26" s="108"/>
    </row>
    <row r="27" spans="2:7" x14ac:dyDescent="0.2">
      <c r="B27" s="109" t="s">
        <v>187</v>
      </c>
      <c r="C27" s="56" t="s">
        <v>188</v>
      </c>
      <c r="D27" s="107">
        <v>42908</v>
      </c>
      <c r="E27" s="181" t="s">
        <v>189</v>
      </c>
      <c r="F27" s="182"/>
      <c r="G27" s="108"/>
    </row>
    <row r="28" spans="2:7" x14ac:dyDescent="0.2">
      <c r="B28" s="56"/>
      <c r="C28" s="56"/>
      <c r="D28" s="56"/>
      <c r="E28" s="167"/>
      <c r="F28" s="168"/>
      <c r="G28" s="56"/>
    </row>
    <row r="29" spans="2:7" ht="88.5" customHeight="1" x14ac:dyDescent="0.2">
      <c r="B29" s="110" t="s">
        <v>62</v>
      </c>
      <c r="C29" s="169" t="s">
        <v>155</v>
      </c>
      <c r="D29" s="169"/>
      <c r="E29" s="169"/>
      <c r="F29" s="169"/>
      <c r="G29" s="169"/>
    </row>
  </sheetData>
  <mergeCells count="10">
    <mergeCell ref="E25:F25"/>
    <mergeCell ref="E26:F26"/>
    <mergeCell ref="C29:G29"/>
    <mergeCell ref="B2:G2"/>
    <mergeCell ref="E27:F27"/>
    <mergeCell ref="E28:F28"/>
    <mergeCell ref="B3:G3"/>
    <mergeCell ref="D4:G4"/>
    <mergeCell ref="B21:G21"/>
    <mergeCell ref="B24:G24"/>
  </mergeCells>
  <phoneticPr fontId="51" type="noConversion"/>
  <dataValidations count="1">
    <dataValidation type="list" allowBlank="1" showInputMessage="1" showErrorMessage="1" sqref="C5">
      <formula1>版本名称</formula1>
    </dataValidation>
  </dataValidations>
  <pageMargins left="0.75" right="0.75" top="1" bottom="1" header="0.5" footer="0.5"/>
  <pageSetup paperSize="9" orientation="portrait" horizontalDpi="300" verticalDpi="300" r:id="rId1"/>
  <headerFooter alignWithMargins="0"/>
  <drawing r:id="rId2"/>
  <legacyDrawing r:id="rId3"/>
  <controls>
    <mc:AlternateContent xmlns:mc="http://schemas.openxmlformats.org/markup-compatibility/2006">
      <mc:Choice Requires="x14">
        <control shapeId="8208" r:id="rId4" name="CommandButton2">
          <controlPr autoLine="0" r:id="rId5">
            <anchor moveWithCells="1">
              <from>
                <xdr:col>14</xdr:col>
                <xdr:colOff>28575</xdr:colOff>
                <xdr:row>0</xdr:row>
                <xdr:rowOff>0</xdr:rowOff>
              </from>
              <to>
                <xdr:col>17</xdr:col>
                <xdr:colOff>190500</xdr:colOff>
                <xdr:row>1</xdr:row>
                <xdr:rowOff>123825</xdr:rowOff>
              </to>
            </anchor>
          </controlPr>
        </control>
      </mc:Choice>
      <mc:Fallback>
        <control shapeId="8208" r:id="rId4" name="CommandButton2"/>
      </mc:Fallback>
    </mc:AlternateContent>
    <mc:AlternateContent xmlns:mc="http://schemas.openxmlformats.org/markup-compatibility/2006">
      <mc:Choice Requires="x14">
        <control shapeId="8196" r:id="rId6" name="CommandButton1">
          <controlPr autoLine="0" r:id="rId7">
            <anchor moveWithCells="1">
              <from>
                <xdr:col>10</xdr:col>
                <xdr:colOff>9525</xdr:colOff>
                <xdr:row>0</xdr:row>
                <xdr:rowOff>0</xdr:rowOff>
              </from>
              <to>
                <xdr:col>13</xdr:col>
                <xdr:colOff>171450</xdr:colOff>
                <xdr:row>1</xdr:row>
                <xdr:rowOff>123825</xdr:rowOff>
              </to>
            </anchor>
          </controlPr>
        </control>
      </mc:Choice>
      <mc:Fallback>
        <control shapeId="8196" r:id="rId6"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2:I23"/>
  <sheetViews>
    <sheetView workbookViewId="0">
      <selection activeCell="E24" sqref="E24"/>
    </sheetView>
  </sheetViews>
  <sheetFormatPr defaultRowHeight="12.75" x14ac:dyDescent="0.2"/>
  <cols>
    <col min="1" max="1" width="2" customWidth="1"/>
    <col min="2" max="2" width="25.425781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3" t="s">
        <v>123</v>
      </c>
      <c r="C2" s="184"/>
      <c r="D2" s="184"/>
    </row>
    <row r="3" spans="2:9" ht="5.25" customHeight="1" x14ac:dyDescent="0.2"/>
    <row r="4" spans="2:9" x14ac:dyDescent="0.2">
      <c r="B4" s="58" t="s">
        <v>124</v>
      </c>
      <c r="C4" s="58" t="s">
        <v>125</v>
      </c>
      <c r="D4" s="68" t="s">
        <v>143</v>
      </c>
      <c r="I4" s="59"/>
    </row>
    <row r="5" spans="2:9" x14ac:dyDescent="0.2">
      <c r="B5" s="60"/>
      <c r="C5" s="60"/>
      <c r="D5" s="69"/>
      <c r="I5" s="59"/>
    </row>
    <row r="6" spans="2:9" x14ac:dyDescent="0.2">
      <c r="B6" s="60"/>
      <c r="C6" s="60"/>
      <c r="D6" s="69"/>
      <c r="I6" s="59"/>
    </row>
    <row r="7" spans="2:9" x14ac:dyDescent="0.2">
      <c r="B7" s="60"/>
      <c r="C7" s="60"/>
      <c r="D7" s="69"/>
      <c r="I7" s="59"/>
    </row>
    <row r="8" spans="2:9" x14ac:dyDescent="0.2">
      <c r="B8" s="60"/>
      <c r="C8" s="60"/>
      <c r="D8" s="69"/>
      <c r="I8" s="59"/>
    </row>
    <row r="10" spans="2:9" x14ac:dyDescent="0.2">
      <c r="B10" s="185" t="s">
        <v>142</v>
      </c>
      <c r="C10" s="184"/>
      <c r="D10" s="184"/>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1" t="s">
        <v>145</v>
      </c>
      <c r="D21" s="152"/>
      <c r="E21" s="152"/>
      <c r="F21" s="152"/>
      <c r="G21" s="152"/>
      <c r="H21" s="152"/>
    </row>
    <row r="23" spans="2:8" x14ac:dyDescent="0.2">
      <c r="B23" t="s">
        <v>141</v>
      </c>
    </row>
  </sheetData>
  <mergeCells count="3">
    <mergeCell ref="B2:D2"/>
    <mergeCell ref="B10:D10"/>
    <mergeCell ref="C21:H21"/>
  </mergeCells>
  <phoneticPr fontId="36" type="noConversion"/>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48129" r:id="rId4" name="CommandButton3">
          <controlPr autoLine="0" r:id="rId5">
            <anchor moveWithCells="1">
              <from>
                <xdr:col>4</xdr:col>
                <xdr:colOff>438150</xdr:colOff>
                <xdr:row>0</xdr:row>
                <xdr:rowOff>57150</xdr:rowOff>
              </from>
              <to>
                <xdr:col>5</xdr:col>
                <xdr:colOff>457200</xdr:colOff>
                <xdr:row>2</xdr:row>
                <xdr:rowOff>19050</xdr:rowOff>
              </to>
            </anchor>
          </controlPr>
        </control>
      </mc:Choice>
      <mc:Fallback>
        <control shapeId="48129" r:id="rId4" name="CommandButton3"/>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94"/>
  <sheetViews>
    <sheetView topLeftCell="A104" workbookViewId="0">
      <selection activeCell="Q7" sqref="Q7"/>
    </sheetView>
  </sheetViews>
  <sheetFormatPr defaultRowHeight="12.75" x14ac:dyDescent="0.2"/>
  <sheetData>
    <row r="1" spans="1:15" s="52" customFormat="1" ht="36.75" customHeight="1" x14ac:dyDescent="0.2">
      <c r="A1" s="186" t="s">
        <v>139</v>
      </c>
      <c r="B1" s="187"/>
      <c r="C1" s="187"/>
      <c r="D1" s="187"/>
      <c r="E1" s="187"/>
      <c r="F1" s="187"/>
      <c r="G1" s="187"/>
      <c r="H1" s="187"/>
      <c r="I1" s="187"/>
      <c r="J1" s="187"/>
      <c r="K1" s="187"/>
      <c r="L1" s="187"/>
      <c r="M1" s="187"/>
      <c r="N1" s="187"/>
      <c r="O1" s="187"/>
    </row>
    <row r="2" spans="1:15" s="67" customFormat="1" ht="18" customHeight="1" x14ac:dyDescent="0.2">
      <c r="A2" s="190" t="s">
        <v>138</v>
      </c>
      <c r="B2" s="191"/>
      <c r="C2" s="191"/>
      <c r="D2" s="191"/>
      <c r="E2" s="191"/>
      <c r="F2" s="191"/>
      <c r="G2" s="191"/>
      <c r="H2" s="191"/>
      <c r="I2" s="191"/>
      <c r="J2" s="191"/>
      <c r="K2" s="191"/>
      <c r="L2" s="191"/>
      <c r="M2" s="191"/>
      <c r="N2" s="191"/>
      <c r="O2" s="191"/>
    </row>
    <row r="36" spans="1:15" ht="10.5" customHeight="1" x14ac:dyDescent="0.2"/>
    <row r="38" spans="1:15" s="66" customFormat="1" ht="18" customHeight="1" x14ac:dyDescent="0.2">
      <c r="A38" s="190" t="s">
        <v>140</v>
      </c>
      <c r="B38" s="191"/>
      <c r="C38" s="191"/>
      <c r="D38" s="191"/>
      <c r="E38" s="191"/>
      <c r="F38" s="191"/>
      <c r="G38" s="191"/>
      <c r="H38" s="191"/>
      <c r="I38" s="191"/>
      <c r="J38" s="191"/>
      <c r="K38" s="191"/>
      <c r="L38" s="191"/>
      <c r="M38" s="191"/>
      <c r="N38" s="191"/>
      <c r="O38" s="191"/>
    </row>
    <row r="72" spans="1:15" s="52" customFormat="1" ht="27" customHeight="1" x14ac:dyDescent="0.2">
      <c r="A72" s="188" t="s">
        <v>90</v>
      </c>
      <c r="B72" s="187"/>
      <c r="C72" s="187"/>
      <c r="D72" s="187"/>
      <c r="E72" s="187"/>
      <c r="F72" s="187"/>
      <c r="G72" s="187"/>
      <c r="H72" s="187"/>
      <c r="I72" s="187"/>
      <c r="J72" s="187"/>
      <c r="K72" s="187"/>
      <c r="L72" s="187"/>
      <c r="M72" s="187"/>
      <c r="N72" s="187"/>
      <c r="O72" s="187"/>
    </row>
    <row r="73" spans="1:15" ht="58.5" customHeight="1" x14ac:dyDescent="0.2">
      <c r="A73" s="189" t="s">
        <v>91</v>
      </c>
      <c r="B73" s="187"/>
      <c r="C73" s="187"/>
      <c r="D73" s="187"/>
      <c r="E73" s="187"/>
      <c r="F73" s="187"/>
      <c r="G73" s="187"/>
      <c r="H73" s="187"/>
      <c r="I73" s="187"/>
      <c r="J73" s="187"/>
      <c r="K73" s="187"/>
      <c r="L73" s="187"/>
      <c r="M73" s="187"/>
      <c r="N73" s="187"/>
      <c r="O73" s="187"/>
    </row>
    <row r="89" spans="1:15" x14ac:dyDescent="0.2">
      <c r="A89" s="10"/>
      <c r="B89" s="10"/>
      <c r="C89" s="10"/>
      <c r="D89" s="10"/>
      <c r="E89" s="10"/>
      <c r="F89" s="10"/>
      <c r="G89" s="10"/>
      <c r="H89" s="10"/>
      <c r="I89" s="10"/>
      <c r="J89" s="10"/>
      <c r="K89" s="10"/>
      <c r="L89" s="10"/>
      <c r="M89" s="10"/>
      <c r="N89" s="10"/>
    </row>
    <row r="94" spans="1:15" ht="48.75" customHeight="1" x14ac:dyDescent="0.2">
      <c r="A94" s="189" t="s">
        <v>92</v>
      </c>
      <c r="B94" s="187"/>
      <c r="C94" s="187"/>
      <c r="D94" s="187"/>
      <c r="E94" s="187"/>
      <c r="F94" s="187"/>
      <c r="G94" s="187"/>
      <c r="H94" s="187"/>
      <c r="I94" s="187"/>
      <c r="J94" s="187"/>
      <c r="K94" s="187"/>
      <c r="L94" s="187"/>
      <c r="M94" s="187"/>
      <c r="N94" s="187"/>
      <c r="O94" s="187"/>
    </row>
  </sheetData>
  <mergeCells count="6">
    <mergeCell ref="A1:O1"/>
    <mergeCell ref="A72:O72"/>
    <mergeCell ref="A73:O73"/>
    <mergeCell ref="A94:O94"/>
    <mergeCell ref="A2:O2"/>
    <mergeCell ref="A38:O38"/>
  </mergeCells>
  <phoneticPr fontId="1" type="noConversion"/>
  <pageMargins left="0.75" right="0.75" top="1" bottom="1" header="0.5" footer="0.5"/>
  <pageSetup paperSize="9" orientation="portrait" horizontalDpi="300" verticalDpi="300" r:id="rId1"/>
  <headerFooter alignWithMargins="0"/>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B2:I21"/>
  <sheetViews>
    <sheetView workbookViewId="0">
      <selection activeCell="C21" sqref="C21:H21"/>
    </sheetView>
  </sheetViews>
  <sheetFormatPr defaultRowHeight="12.75" x14ac:dyDescent="0.2"/>
  <cols>
    <col min="1" max="1" width="2" customWidth="1"/>
    <col min="2" max="2" width="28.28515625" customWidth="1"/>
    <col min="3" max="3" width="15.5703125" customWidth="1"/>
    <col min="4" max="4" width="30.42578125" customWidth="1"/>
    <col min="5" max="5" width="12.42578125" customWidth="1"/>
    <col min="6" max="6" width="15.140625" customWidth="1"/>
    <col min="7" max="7" width="12.140625" customWidth="1"/>
    <col min="8" max="8" width="9.5703125" hidden="1" customWidth="1"/>
  </cols>
  <sheetData>
    <row r="2" spans="2:9" x14ac:dyDescent="0.2">
      <c r="B2" s="183" t="s">
        <v>123</v>
      </c>
      <c r="C2" s="184"/>
      <c r="D2" s="184"/>
    </row>
    <row r="3" spans="2:9" ht="5.25" customHeight="1" x14ac:dyDescent="0.2"/>
    <row r="4" spans="2:9" x14ac:dyDescent="0.2">
      <c r="B4" s="58" t="s">
        <v>124</v>
      </c>
      <c r="C4" s="58" t="s">
        <v>125</v>
      </c>
      <c r="D4" s="58" t="s">
        <v>126</v>
      </c>
      <c r="I4" s="59"/>
    </row>
    <row r="5" spans="2:9" x14ac:dyDescent="0.2">
      <c r="B5" s="60"/>
      <c r="C5" s="60"/>
      <c r="D5" s="60"/>
      <c r="I5" s="59"/>
    </row>
    <row r="6" spans="2:9" x14ac:dyDescent="0.2">
      <c r="B6" s="60"/>
      <c r="C6" s="60"/>
      <c r="D6" s="60"/>
      <c r="I6" s="59"/>
    </row>
    <row r="7" spans="2:9" x14ac:dyDescent="0.2">
      <c r="B7" s="60"/>
      <c r="C7" s="60"/>
      <c r="D7" s="60"/>
      <c r="I7" s="59"/>
    </row>
    <row r="8" spans="2:9" x14ac:dyDescent="0.2">
      <c r="B8" s="60"/>
      <c r="C8" s="60"/>
      <c r="D8" s="60"/>
      <c r="I8" s="59"/>
    </row>
    <row r="10" spans="2:9" x14ac:dyDescent="0.2">
      <c r="B10" s="183" t="s">
        <v>127</v>
      </c>
      <c r="C10" s="184"/>
      <c r="D10" s="184"/>
      <c r="F10" s="61"/>
    </row>
    <row r="11" spans="2:9" ht="3.75" customHeight="1" x14ac:dyDescent="0.2"/>
    <row r="12" spans="2:9" x14ac:dyDescent="0.2">
      <c r="B12" s="58" t="s">
        <v>128</v>
      </c>
      <c r="C12" s="58" t="s">
        <v>129</v>
      </c>
      <c r="D12" s="58" t="s">
        <v>130</v>
      </c>
    </row>
    <row r="13" spans="2:9" x14ac:dyDescent="0.2">
      <c r="B13" s="62" t="s">
        <v>131</v>
      </c>
      <c r="C13" s="9"/>
      <c r="D13" s="9"/>
    </row>
    <row r="14" spans="2:9" x14ac:dyDescent="0.2">
      <c r="B14" s="48" t="s">
        <v>132</v>
      </c>
      <c r="C14" s="9"/>
      <c r="D14" s="9"/>
    </row>
    <row r="15" spans="2:9" x14ac:dyDescent="0.2">
      <c r="B15" s="48" t="s">
        <v>133</v>
      </c>
      <c r="C15" s="9"/>
      <c r="D15" s="9"/>
    </row>
    <row r="16" spans="2:9" x14ac:dyDescent="0.2">
      <c r="B16" s="62" t="s">
        <v>134</v>
      </c>
      <c r="C16" s="9"/>
      <c r="D16" s="9"/>
    </row>
    <row r="17" spans="2:8" x14ac:dyDescent="0.2">
      <c r="B17" s="62" t="s">
        <v>135</v>
      </c>
      <c r="C17" s="9"/>
      <c r="D17" s="9"/>
    </row>
    <row r="18" spans="2:8" x14ac:dyDescent="0.2">
      <c r="B18" s="63"/>
      <c r="C18" s="23"/>
      <c r="D18" s="23"/>
    </row>
    <row r="19" spans="2:8" x14ac:dyDescent="0.2">
      <c r="B19" s="64" t="s">
        <v>136</v>
      </c>
    </row>
    <row r="21" spans="2:8" ht="73.5" customHeight="1" x14ac:dyDescent="0.2">
      <c r="B21" s="65" t="s">
        <v>137</v>
      </c>
      <c r="C21" s="151" t="s">
        <v>144</v>
      </c>
      <c r="D21" s="152"/>
      <c r="E21" s="152"/>
      <c r="F21" s="152"/>
      <c r="G21" s="152"/>
      <c r="H21" s="152"/>
    </row>
  </sheetData>
  <mergeCells count="3">
    <mergeCell ref="B2:D2"/>
    <mergeCell ref="B10:D10"/>
    <mergeCell ref="C21:H21"/>
  </mergeCells>
  <phoneticPr fontId="36" type="noConversion"/>
  <pageMargins left="0.7" right="0.7" top="0.75" bottom="0.75" header="0.3" footer="0.3"/>
  <drawing r:id="rId1"/>
  <legacyDrawing r:id="rId2"/>
  <controls>
    <mc:AlternateContent xmlns:mc="http://schemas.openxmlformats.org/markup-compatibility/2006">
      <mc:Choice Requires="x14">
        <control shapeId="49153" r:id="rId3" name="CommandButton3">
          <controlPr autoLine="0" r:id="rId4">
            <anchor moveWithCells="1">
              <from>
                <xdr:col>4</xdr:col>
                <xdr:colOff>438150</xdr:colOff>
                <xdr:row>0</xdr:row>
                <xdr:rowOff>57150</xdr:rowOff>
              </from>
              <to>
                <xdr:col>5</xdr:col>
                <xdr:colOff>542925</xdr:colOff>
                <xdr:row>1</xdr:row>
                <xdr:rowOff>152400</xdr:rowOff>
              </to>
            </anchor>
          </controlPr>
        </control>
      </mc:Choice>
      <mc:Fallback>
        <control shapeId="49153" r:id="rId3" name="CommandButton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19</vt:i4>
      </vt:variant>
      <vt:variant>
        <vt:lpstr>命名范围</vt:lpstr>
      </vt:variant>
      <vt:variant>
        <vt:i4>1</vt:i4>
      </vt:variant>
    </vt:vector>
  </HeadingPairs>
  <TitlesOfParts>
    <vt:vector size="20" baseType="lpstr">
      <vt:lpstr>版本控制</vt:lpstr>
      <vt:lpstr>例行版本计划</vt:lpstr>
      <vt:lpstr>ISR清单</vt:lpstr>
      <vt:lpstr>缺陷及问题清单</vt:lpstr>
      <vt:lpstr>本月退回ISR清单</vt:lpstr>
      <vt:lpstr>待处理ISR清单</vt:lpstr>
      <vt:lpstr>XX版本冻结公告</vt:lpstr>
      <vt:lpstr>历史信息</vt:lpstr>
      <vt:lpstr>v6.15.0版本冻结公告</vt:lpstr>
      <vt:lpstr>v6.13.0版本冻结公告</vt:lpstr>
      <vt:lpstr>v6.12.1版本冻结公告</vt:lpstr>
      <vt:lpstr>v1.23.0版本冻结公告</vt:lpstr>
      <vt:lpstr>v1.22.0版本冻结公告</vt:lpstr>
      <vt:lpstr>v1.19.0版本冻结公告</vt:lpstr>
      <vt:lpstr>v1.18.0版本冻结公告</vt:lpstr>
      <vt:lpstr>v1.17.0版本冻结公告</vt:lpstr>
      <vt:lpstr>XXX版本冻结公告（变更）</vt:lpstr>
      <vt:lpstr>邮件规范及操作指引</vt:lpstr>
      <vt:lpstr>XX版本冻结公告(变更)</vt:lpstr>
      <vt:lpstr>版本名称</vt:lpstr>
    </vt:vector>
  </TitlesOfParts>
  <Company>CTIL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miriam choy</dc:creator>
  <cp:lastModifiedBy>Kerust Feng</cp:lastModifiedBy>
  <dcterms:created xsi:type="dcterms:W3CDTF">2006-03-01T04:09:29Z</dcterms:created>
  <dcterms:modified xsi:type="dcterms:W3CDTF">2018-10-18T02:58:37Z</dcterms:modified>
</cp:coreProperties>
</file>